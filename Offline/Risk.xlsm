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" yWindow="120" windowWidth="10500" windowHeight="6885" activeTab="5"/>
  </bookViews>
  <sheets>
    <sheet name="Blad1" sheetId="1" r:id="rId1"/>
    <sheet name="Blad4" sheetId="4" r:id="rId2"/>
    <sheet name="Blad3" sheetId="3" r:id="rId3"/>
    <sheet name="Blad2" sheetId="2" r:id="rId4"/>
    <sheet name="Landen" sheetId="5" r:id="rId5"/>
    <sheet name="Blad7" sheetId="7" r:id="rId6"/>
  </sheets>
  <calcPr calcId="145621" iterate="1"/>
</workbook>
</file>

<file path=xl/calcChain.xml><?xml version="1.0" encoding="utf-8"?>
<calcChain xmlns="http://schemas.openxmlformats.org/spreadsheetml/2006/main">
  <c r="AT2" i="7" l="1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2" i="7"/>
  <c r="E1" i="7"/>
  <c r="B7" i="1" l="1"/>
  <c r="B8" i="1"/>
  <c r="A8" i="1" s="1"/>
  <c r="B9" i="1"/>
  <c r="A9" i="1" s="1"/>
  <c r="B10" i="1"/>
  <c r="A10" i="1" s="1"/>
  <c r="B11" i="1"/>
  <c r="A11" i="1" s="1"/>
  <c r="B12" i="1"/>
  <c r="B13" i="1"/>
  <c r="B14" i="1"/>
  <c r="B15" i="1"/>
  <c r="B16" i="1"/>
  <c r="A16" i="1" s="1"/>
  <c r="B17" i="1"/>
  <c r="A17" i="1" s="1"/>
  <c r="B18" i="1"/>
  <c r="A18" i="1" s="1"/>
  <c r="B19" i="1"/>
  <c r="A19" i="1" s="1"/>
  <c r="B20" i="1"/>
  <c r="B21" i="1"/>
  <c r="B22" i="1"/>
  <c r="B23" i="1"/>
  <c r="B24" i="1"/>
  <c r="A24" i="1" s="1"/>
  <c r="B25" i="1"/>
  <c r="A25" i="1" s="1"/>
  <c r="B26" i="1"/>
  <c r="A26" i="1" s="1"/>
  <c r="B27" i="1"/>
  <c r="A27" i="1" s="1"/>
  <c r="B28" i="1"/>
  <c r="B29" i="1"/>
  <c r="B30" i="1"/>
  <c r="B31" i="1"/>
  <c r="B32" i="1"/>
  <c r="A32" i="1" s="1"/>
  <c r="B33" i="1"/>
  <c r="A33" i="1" s="1"/>
  <c r="B34" i="1"/>
  <c r="A34" i="1" s="1"/>
  <c r="B35" i="1"/>
  <c r="A35" i="1" s="1"/>
  <c r="B36" i="1"/>
  <c r="B37" i="1"/>
  <c r="B38" i="1"/>
  <c r="B39" i="1"/>
  <c r="B40" i="1"/>
  <c r="A40" i="1" s="1"/>
  <c r="B41" i="1"/>
  <c r="A41" i="1" s="1"/>
  <c r="B42" i="1"/>
  <c r="B43" i="1"/>
  <c r="A43" i="1" s="1"/>
  <c r="B44" i="1"/>
  <c r="B45" i="1"/>
  <c r="B46" i="1"/>
  <c r="B47" i="1"/>
  <c r="A44" i="1"/>
  <c r="B48" i="1"/>
  <c r="A42" i="1"/>
  <c r="A7" i="1"/>
  <c r="A12" i="1"/>
  <c r="A13" i="1"/>
  <c r="A14" i="1"/>
  <c r="A15" i="1"/>
  <c r="A20" i="1"/>
  <c r="A21" i="1"/>
  <c r="A22" i="1"/>
  <c r="A23" i="1"/>
  <c r="A28" i="1"/>
  <c r="A29" i="1"/>
  <c r="A30" i="1"/>
  <c r="A31" i="1"/>
  <c r="A36" i="1"/>
  <c r="A37" i="1"/>
  <c r="A38" i="1"/>
  <c r="A39" i="1"/>
  <c r="A45" i="1"/>
  <c r="A46" i="1"/>
  <c r="A47" i="1"/>
  <c r="A48" i="1"/>
  <c r="A51" i="1"/>
  <c r="A50" i="1"/>
  <c r="A49" i="1"/>
  <c r="H98" i="4"/>
  <c r="H96" i="4"/>
  <c r="H97" i="4"/>
  <c r="H95" i="4"/>
  <c r="H99" i="4"/>
  <c r="H94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F48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F46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F44" i="4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M47" i="3" s="1"/>
  <c r="AN46" i="3"/>
  <c r="AO46" i="3"/>
  <c r="AP46" i="3"/>
  <c r="AQ46" i="3"/>
  <c r="AR46" i="3"/>
  <c r="AS46" i="3"/>
  <c r="AS47" i="3" s="1"/>
  <c r="AT46" i="3"/>
  <c r="AU46" i="3"/>
  <c r="F46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F69" i="1"/>
  <c r="I15" i="2"/>
  <c r="I16" i="2"/>
  <c r="I17" i="2"/>
  <c r="I42" i="2"/>
  <c r="I35" i="2"/>
  <c r="I36" i="2"/>
  <c r="I6" i="2"/>
  <c r="I8" i="2"/>
  <c r="I38" i="2"/>
  <c r="I9" i="2"/>
  <c r="I39" i="2"/>
  <c r="I18" i="2"/>
  <c r="I40" i="2"/>
  <c r="I41" i="2"/>
  <c r="I1" i="2"/>
  <c r="I37" i="2"/>
  <c r="I2" i="2"/>
  <c r="I4" i="2"/>
  <c r="I32" i="2"/>
  <c r="I5" i="2"/>
  <c r="I25" i="2"/>
  <c r="I26" i="2"/>
  <c r="I3" i="2"/>
  <c r="I27" i="2"/>
  <c r="I12" i="2"/>
  <c r="I19" i="2"/>
  <c r="I28" i="2"/>
  <c r="I29" i="2"/>
  <c r="I10" i="2"/>
  <c r="I30" i="2"/>
  <c r="I13" i="2"/>
  <c r="I20" i="2"/>
  <c r="I33" i="2"/>
  <c r="I34" i="2"/>
  <c r="I11" i="2"/>
  <c r="I31" i="2"/>
  <c r="I7" i="2"/>
  <c r="I21" i="2"/>
  <c r="I22" i="2"/>
  <c r="I23" i="2"/>
  <c r="I24" i="2"/>
  <c r="I14" i="2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F114" i="1"/>
  <c r="C61" i="1"/>
  <c r="C62" i="1"/>
  <c r="C63" i="1"/>
  <c r="C64" i="1"/>
  <c r="C65" i="1"/>
  <c r="C60" i="1"/>
  <c r="C54" i="1"/>
  <c r="C55" i="1"/>
  <c r="C56" i="1"/>
  <c r="C57" i="1"/>
  <c r="C58" i="1"/>
  <c r="C53" i="1"/>
  <c r="AE47" i="3" l="1"/>
  <c r="W47" i="3"/>
  <c r="AR47" i="3"/>
  <c r="AJ47" i="3"/>
  <c r="AB47" i="3"/>
  <c r="L47" i="3"/>
  <c r="AO47" i="3"/>
  <c r="AG47" i="3"/>
  <c r="Y47" i="3"/>
  <c r="Q47" i="3"/>
  <c r="K47" i="3"/>
  <c r="F47" i="3"/>
  <c r="AN47" i="3"/>
  <c r="AF47" i="3"/>
  <c r="X47" i="3"/>
  <c r="P47" i="3"/>
  <c r="H47" i="3"/>
  <c r="AK47" i="3"/>
  <c r="M47" i="3"/>
  <c r="T47" i="3"/>
  <c r="AU47" i="3"/>
  <c r="O47" i="3"/>
  <c r="G47" i="3"/>
  <c r="AT47" i="3"/>
  <c r="AL47" i="3"/>
  <c r="AD47" i="3"/>
  <c r="V47" i="3"/>
  <c r="N47" i="3"/>
  <c r="AC47" i="3"/>
  <c r="U47" i="3"/>
  <c r="AP47" i="3"/>
  <c r="AI47" i="3"/>
  <c r="S47" i="3"/>
  <c r="Z47" i="3"/>
  <c r="J47" i="3"/>
  <c r="I47" i="3"/>
  <c r="AQ47" i="3"/>
  <c r="AA47" i="3"/>
  <c r="AH47" i="3"/>
  <c r="R47" i="3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F164" i="1"/>
  <c r="AW114" i="1" s="1"/>
  <c r="R165" i="1" l="1"/>
  <c r="AO165" i="1"/>
  <c r="I165" i="1"/>
  <c r="AU165" i="1"/>
  <c r="AM165" i="1"/>
  <c r="O165" i="1"/>
  <c r="AT165" i="1"/>
  <c r="AL165" i="1"/>
  <c r="AD165" i="1"/>
  <c r="V165" i="1"/>
  <c r="AS165" i="1"/>
  <c r="AK165" i="1"/>
  <c r="AC165" i="1"/>
  <c r="U165" i="1"/>
  <c r="M165" i="1"/>
  <c r="AR165" i="1"/>
  <c r="AJ165" i="1"/>
  <c r="AB165" i="1"/>
  <c r="T165" i="1"/>
  <c r="L165" i="1"/>
  <c r="AQ165" i="1"/>
  <c r="AI165" i="1"/>
  <c r="AA165" i="1"/>
  <c r="S165" i="1"/>
  <c r="K165" i="1"/>
  <c r="AH165" i="1"/>
  <c r="AG165" i="1"/>
  <c r="F165" i="1"/>
  <c r="X165" i="1"/>
  <c r="P165" i="1"/>
  <c r="H165" i="1"/>
  <c r="Z165" i="1"/>
  <c r="Y165" i="1"/>
  <c r="AN165" i="1"/>
  <c r="W165" i="1"/>
  <c r="G165" i="1"/>
  <c r="AP165" i="1"/>
  <c r="J165" i="1"/>
  <c r="Q165" i="1"/>
  <c r="AF165" i="1"/>
  <c r="AE165" i="1"/>
  <c r="N165" i="1"/>
  <c r="F61" i="1"/>
  <c r="F62" i="1"/>
  <c r="F63" i="1"/>
  <c r="F64" i="1"/>
  <c r="F65" i="1"/>
  <c r="F60" i="1"/>
  <c r="D54" i="1"/>
  <c r="D55" i="1"/>
  <c r="D56" i="1"/>
  <c r="D57" i="1"/>
  <c r="D58" i="1"/>
  <c r="D53" i="1"/>
  <c r="G50" i="1" l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F50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F54" i="1"/>
  <c r="F55" i="1"/>
  <c r="F56" i="1"/>
  <c r="F57" i="1"/>
  <c r="F58" i="1"/>
  <c r="F53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7" i="1"/>
  <c r="AW55" i="1" l="1"/>
  <c r="AW53" i="1"/>
  <c r="AW57" i="1"/>
  <c r="AW54" i="1"/>
  <c r="AW58" i="1"/>
  <c r="AW56" i="1"/>
  <c r="F3" i="1" l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Y6" i="1"/>
  <c r="AY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AY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AY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AY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AY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AY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AY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AY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AY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AY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AY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AY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AY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AY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AY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AY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AY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AY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AY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AY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AY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AY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AY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AY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AY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AY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AY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AY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AY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AY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AY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AY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AY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AY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AY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AY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AY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AY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AY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AY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AY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AY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</calcChain>
</file>

<file path=xl/sharedStrings.xml><?xml version="1.0" encoding="utf-8"?>
<sst xmlns="http://schemas.openxmlformats.org/spreadsheetml/2006/main" count="445" uniqueCount="100">
  <si>
    <t>northAmerica</t>
  </si>
  <si>
    <t>southAmerica</t>
  </si>
  <si>
    <t>europe</t>
  </si>
  <si>
    <t>afrika</t>
  </si>
  <si>
    <t>azia</t>
  </si>
  <si>
    <t>australia</t>
  </si>
  <si>
    <t>Met doorgang</t>
  </si>
  <si>
    <t>Neutraal</t>
  </si>
  <si>
    <t>Verschil</t>
  </si>
  <si>
    <t>96</t>
  </si>
  <si>
    <t>97</t>
  </si>
  <si>
    <t>A1</t>
  </si>
  <si>
    <t>92</t>
  </si>
  <si>
    <t>9C</t>
  </si>
  <si>
    <t>70</t>
  </si>
  <si>
    <t>8B</t>
  </si>
  <si>
    <t>78</t>
  </si>
  <si>
    <t>7B</t>
  </si>
  <si>
    <t>84</t>
  </si>
  <si>
    <t>68</t>
  </si>
  <si>
    <t>AB</t>
  </si>
  <si>
    <t>4B</t>
  </si>
  <si>
    <t>A6</t>
  </si>
  <si>
    <t>AD</t>
  </si>
  <si>
    <t>B8</t>
  </si>
  <si>
    <t>FF</t>
  </si>
  <si>
    <t>C8</t>
  </si>
  <si>
    <t>C0</t>
  </si>
  <si>
    <t>EE</t>
  </si>
  <si>
    <t>E5</t>
  </si>
  <si>
    <t>C9</t>
  </si>
  <si>
    <t>D5</t>
  </si>
  <si>
    <t>94</t>
  </si>
  <si>
    <t>6D</t>
  </si>
  <si>
    <t>64</t>
  </si>
  <si>
    <t>D7</t>
  </si>
  <si>
    <t>BE</t>
  </si>
  <si>
    <t>89</t>
  </si>
  <si>
    <t>91</t>
  </si>
  <si>
    <t>E8</t>
  </si>
  <si>
    <t>E3</t>
  </si>
  <si>
    <t>BA</t>
  </si>
  <si>
    <t>6F</t>
  </si>
  <si>
    <t>FA</t>
  </si>
  <si>
    <t>D8</t>
  </si>
  <si>
    <t>A9</t>
  </si>
  <si>
    <t>2E</t>
  </si>
  <si>
    <t>00</t>
  </si>
  <si>
    <t>Alaska</t>
  </si>
  <si>
    <t>Northwest Territory</t>
  </si>
  <si>
    <t>Greenland</t>
  </si>
  <si>
    <t>Alberta</t>
  </si>
  <si>
    <t>Ontario</t>
  </si>
  <si>
    <t>Quebec</t>
  </si>
  <si>
    <t>Western United States</t>
  </si>
  <si>
    <t>Eastern United States</t>
  </si>
  <si>
    <t>Central America</t>
  </si>
  <si>
    <t>Venezuela</t>
  </si>
  <si>
    <t>Peru</t>
  </si>
  <si>
    <t>Brazil</t>
  </si>
  <si>
    <t>Argentina</t>
  </si>
  <si>
    <t>Iceland</t>
  </si>
  <si>
    <t>Great Britain</t>
  </si>
  <si>
    <t>Scandinavia</t>
  </si>
  <si>
    <t>Ukraine</t>
  </si>
  <si>
    <t>Western Europe</t>
  </si>
  <si>
    <t>Northern Europe</t>
  </si>
  <si>
    <t>Southern Europe</t>
  </si>
  <si>
    <t>North Africa</t>
  </si>
  <si>
    <t>Egypt</t>
  </si>
  <si>
    <t>East Africa</t>
  </si>
  <si>
    <t>Congo</t>
  </si>
  <si>
    <t>South Africa</t>
  </si>
  <si>
    <t>Madagascar</t>
  </si>
  <si>
    <t>Ural</t>
  </si>
  <si>
    <t>Siberia</t>
  </si>
  <si>
    <t>Yakutsk</t>
  </si>
  <si>
    <t>Kamchatka</t>
  </si>
  <si>
    <t>Irkutsk</t>
  </si>
  <si>
    <t>Kazakhstan</t>
  </si>
  <si>
    <t>China</t>
  </si>
  <si>
    <t>Mongolia</t>
  </si>
  <si>
    <t>Japan</t>
  </si>
  <si>
    <t>Middle East</t>
  </si>
  <si>
    <t>India</t>
  </si>
  <si>
    <t>Siam</t>
  </si>
  <si>
    <t>Indonesia</t>
  </si>
  <si>
    <t>New Guinea</t>
  </si>
  <si>
    <t>Western Australia</t>
  </si>
  <si>
    <t>Eastern Australia</t>
  </si>
  <si>
    <t>North America</t>
  </si>
  <si>
    <t>South America</t>
  </si>
  <si>
    <t>Europe</t>
  </si>
  <si>
    <t>Afrika</t>
  </si>
  <si>
    <t>Azia</t>
  </si>
  <si>
    <t>Australia</t>
  </si>
  <si>
    <t>Region</t>
  </si>
  <si>
    <t>RegionName</t>
  </si>
  <si>
    <t>SuperRegionName</t>
  </si>
  <si>
    <t>SuperRegion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</si>
</sst>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64" formatCode="#,##0.00;[Red]\-#,##0.00;\-;@"/>
    <numFmt numFmtId="165" formatCode="#,##0;[Red]\-#,##0;\-;@"/>
    <numFmt numFmtId="166" formatCode="0.000"/>
    <numFmt numFmtId="167" formatCode="#,##0.0;[Red]\-#,##0.0;\-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2" xfId="0" applyNumberFormat="1" applyBorder="1"/>
    <xf numFmtId="9" fontId="0" fillId="0" borderId="0" xfId="0" applyNumberFormat="1"/>
    <xf numFmtId="0" fontId="0" fillId="3" borderId="2" xfId="0" applyFill="1" applyBorder="1"/>
    <xf numFmtId="0" fontId="0" fillId="3" borderId="0" xfId="0" applyFill="1"/>
    <xf numFmtId="0" fontId="0" fillId="4" borderId="2" xfId="0" applyFill="1" applyBorder="1"/>
    <xf numFmtId="0" fontId="0" fillId="4" borderId="0" xfId="0" applyFill="1" applyBorder="1"/>
    <xf numFmtId="0" fontId="0" fillId="4" borderId="1" xfId="0" applyFill="1" applyBorder="1"/>
    <xf numFmtId="164" fontId="0" fillId="2" borderId="0" xfId="0" applyNumberFormat="1" applyFill="1"/>
    <xf numFmtId="164" fontId="0" fillId="3" borderId="0" xfId="0" applyNumberFormat="1" applyFill="1"/>
    <xf numFmtId="165" fontId="0" fillId="4" borderId="2" xfId="0" applyNumberFormat="1" applyFill="1" applyBorder="1" applyAlignment="1">
      <alignment shrinkToFit="1"/>
    </xf>
    <xf numFmtId="165" fontId="0" fillId="4" borderId="0" xfId="0" applyNumberFormat="1" applyFill="1" applyBorder="1" applyAlignment="1">
      <alignment shrinkToFit="1"/>
    </xf>
    <xf numFmtId="165" fontId="0" fillId="4" borderId="1" xfId="0" applyNumberFormat="1" applyFill="1" applyBorder="1" applyAlignment="1">
      <alignment shrinkToFit="1"/>
    </xf>
    <xf numFmtId="165" fontId="0" fillId="4" borderId="0" xfId="0" applyNumberFormat="1" applyFill="1" applyAlignment="1">
      <alignment shrinkToFit="1"/>
    </xf>
    <xf numFmtId="0" fontId="0" fillId="5" borderId="2" xfId="0" applyFill="1" applyBorder="1" applyAlignment="1">
      <alignment shrinkToFit="1"/>
    </xf>
    <xf numFmtId="0" fontId="0" fillId="5" borderId="0" xfId="0" applyFill="1" applyBorder="1" applyAlignment="1">
      <alignment shrinkToFit="1"/>
    </xf>
    <xf numFmtId="0" fontId="0" fillId="5" borderId="1" xfId="0" applyFill="1" applyBorder="1" applyAlignment="1">
      <alignment shrinkToFit="1"/>
    </xf>
    <xf numFmtId="164" fontId="0" fillId="2" borderId="2" xfId="0" applyNumberFormat="1" applyFill="1" applyBorder="1" applyAlignment="1">
      <alignment shrinkToFit="1"/>
    </xf>
    <xf numFmtId="164" fontId="0" fillId="0" borderId="0" xfId="0" applyNumberFormat="1"/>
    <xf numFmtId="166" fontId="0" fillId="0" borderId="0" xfId="0" applyNumberFormat="1"/>
    <xf numFmtId="2" fontId="0" fillId="0" borderId="0" xfId="0" applyNumberFormat="1"/>
    <xf numFmtId="167" fontId="0" fillId="2" borderId="2" xfId="0" applyNumberFormat="1" applyFill="1" applyBorder="1" applyAlignment="1">
      <alignment shrinkToFit="1"/>
    </xf>
    <xf numFmtId="43" fontId="0" fillId="0" borderId="0" xfId="1" applyFont="1"/>
    <xf numFmtId="43" fontId="0" fillId="0" borderId="0" xfId="0" applyNumberFormat="1"/>
    <xf numFmtId="164" fontId="2" fillId="2" borderId="0" xfId="0" applyNumberFormat="1" applyFont="1" applyFill="1" applyAlignment="1">
      <alignment shrinkToFit="1"/>
    </xf>
    <xf numFmtId="167" fontId="0" fillId="2" borderId="0" xfId="0" applyNumberFormat="1" applyFill="1" applyBorder="1" applyAlignment="1">
      <alignment shrinkToFit="1"/>
    </xf>
    <xf numFmtId="164" fontId="0" fillId="2" borderId="0" xfId="0" applyNumberFormat="1" applyFill="1" applyAlignment="1">
      <alignment shrinkToFit="1"/>
    </xf>
    <xf numFmtId="0" fontId="3" fillId="0" borderId="0" xfId="0" applyFont="1" applyAlignment="1">
      <alignment horizontal="right" wrapText="1"/>
    </xf>
    <xf numFmtId="0" fontId="3" fillId="0" borderId="0" xfId="0" applyFont="1"/>
    <xf numFmtId="0" fontId="0" fillId="5" borderId="0" xfId="0" applyFill="1"/>
  </cellXfs>
  <cellStyles count="2">
    <cellStyle name="Komma" xfId="1" builtinId="3"/>
    <cellStyle name="Standaard" xfId="0" builtinId="0"/>
  </cellStyles>
  <dxfs count="0"/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Blad4!$F$45:$AU$45</c:f>
              <c:numCache>
                <c:formatCode>#,##0.00;[Red]\-#,##0.00;\-;@</c:formatCode>
                <c:ptCount val="42"/>
                <c:pt idx="0">
                  <c:v>8.5060863999999992</c:v>
                </c:pt>
                <c:pt idx="1">
                  <c:v>8.5514905599999977</c:v>
                </c:pt>
                <c:pt idx="2">
                  <c:v>8.8163676159999973</c:v>
                </c:pt>
                <c:pt idx="3">
                  <c:v>8.3821465599999989</c:v>
                </c:pt>
                <c:pt idx="4">
                  <c:v>8.6934108159999983</c:v>
                </c:pt>
                <c:pt idx="5">
                  <c:v>7.4261149695999951</c:v>
                </c:pt>
                <c:pt idx="6">
                  <c:v>8.1988956159999962</c:v>
                </c:pt>
                <c:pt idx="7">
                  <c:v>7.6329373695999934</c:v>
                </c:pt>
                <c:pt idx="8">
                  <c:v>7.7468317695999938</c:v>
                </c:pt>
                <c:pt idx="9">
                  <c:v>7.9992156159999963</c:v>
                </c:pt>
                <c:pt idx="10">
                  <c:v>7.1907420159999988</c:v>
                </c:pt>
                <c:pt idx="11">
                  <c:v>9.1254169600000044</c:v>
                </c:pt>
                <c:pt idx="12">
                  <c:v>6.3552501760000002</c:v>
                </c:pt>
                <c:pt idx="13">
                  <c:v>8.9674393599999984</c:v>
                </c:pt>
                <c:pt idx="14">
                  <c:v>9.1878553599999986</c:v>
                </c:pt>
                <c:pt idx="15">
                  <c:v>9.4848255999999989</c:v>
                </c:pt>
                <c:pt idx="16">
                  <c:v>11.541375999999994</c:v>
                </c:pt>
                <c:pt idx="17">
                  <c:v>9.967897599999997</c:v>
                </c:pt>
                <c:pt idx="18">
                  <c:v>9.7305855999999977</c:v>
                </c:pt>
                <c:pt idx="19">
                  <c:v>11.041407999999995</c:v>
                </c:pt>
                <c:pt idx="20">
                  <c:v>10.796953599999997</c:v>
                </c:pt>
                <c:pt idx="21">
                  <c:v>9.9957759999999958</c:v>
                </c:pt>
                <c:pt idx="22">
                  <c:v>10.331775999999994</c:v>
                </c:pt>
                <c:pt idx="23">
                  <c:v>8.4547071999999979</c:v>
                </c:pt>
                <c:pt idx="24">
                  <c:v>7.3190655999999965</c:v>
                </c:pt>
                <c:pt idx="25">
                  <c:v>7.0790655999999963</c:v>
                </c:pt>
                <c:pt idx="26">
                  <c:v>10.382847999999996</c:v>
                </c:pt>
                <c:pt idx="27">
                  <c:v>9.6540159999999968</c:v>
                </c:pt>
                <c:pt idx="28">
                  <c:v>8.1240832000000012</c:v>
                </c:pt>
                <c:pt idx="29">
                  <c:v>8.9602815999999983</c:v>
                </c:pt>
                <c:pt idx="30">
                  <c:v>8.3640831999999996</c:v>
                </c:pt>
                <c:pt idx="31">
                  <c:v>10.882047999999998</c:v>
                </c:pt>
                <c:pt idx="32">
                  <c:v>10.734975999999996</c:v>
                </c:pt>
                <c:pt idx="33">
                  <c:v>9.5406591999999968</c:v>
                </c:pt>
                <c:pt idx="34">
                  <c:v>7.3749913600000001</c:v>
                </c:pt>
                <c:pt idx="35">
                  <c:v>11.398527999999997</c:v>
                </c:pt>
                <c:pt idx="36">
                  <c:v>10.417177599999997</c:v>
                </c:pt>
                <c:pt idx="37">
                  <c:v>9.0535167999999988</c:v>
                </c:pt>
                <c:pt idx="38">
                  <c:v>7.07051008</c:v>
                </c:pt>
                <c:pt idx="39">
                  <c:v>5.506306047999999</c:v>
                </c:pt>
                <c:pt idx="40">
                  <c:v>5.5063060479999999</c:v>
                </c:pt>
                <c:pt idx="41">
                  <c:v>4.1837836288000005</c:v>
                </c:pt>
              </c:numCache>
            </c:numRef>
          </c:xVal>
          <c:yVal>
            <c:numRef>
              <c:f>Blad4!$F$46:$AU$46</c:f>
              <c:numCache>
                <c:formatCode>#,##0.00;[Red]\-#,##0.00;\-;@</c:formatCode>
                <c:ptCount val="42"/>
                <c:pt idx="0">
                  <c:v>0.38041417142857092</c:v>
                </c:pt>
                <c:pt idx="1">
                  <c:v>0.36919868952380952</c:v>
                </c:pt>
                <c:pt idx="2">
                  <c:v>0.40314787352381032</c:v>
                </c:pt>
                <c:pt idx="3">
                  <c:v>0.3473874895238076</c:v>
                </c:pt>
                <c:pt idx="4">
                  <c:v>0.37297130057142702</c:v>
                </c:pt>
                <c:pt idx="5">
                  <c:v>0.3656185417142872</c:v>
                </c:pt>
                <c:pt idx="6">
                  <c:v>0.3342755352380955</c:v>
                </c:pt>
                <c:pt idx="7">
                  <c:v>0.34984089112381334</c:v>
                </c:pt>
                <c:pt idx="8">
                  <c:v>0.35000574537142892</c:v>
                </c:pt>
                <c:pt idx="9">
                  <c:v>0.35684161828571614</c:v>
                </c:pt>
                <c:pt idx="10">
                  <c:v>0.328034304</c:v>
                </c:pt>
                <c:pt idx="11">
                  <c:v>0.38801030095237898</c:v>
                </c:pt>
                <c:pt idx="12">
                  <c:v>0.32627424304761554</c:v>
                </c:pt>
                <c:pt idx="13">
                  <c:v>0.42309412571428417</c:v>
                </c:pt>
                <c:pt idx="14">
                  <c:v>0.43422780952380791</c:v>
                </c:pt>
                <c:pt idx="15">
                  <c:v>0.43682377142856765</c:v>
                </c:pt>
                <c:pt idx="16">
                  <c:v>0.46806857142857439</c:v>
                </c:pt>
                <c:pt idx="17">
                  <c:v>0.41939626666666818</c:v>
                </c:pt>
                <c:pt idx="18">
                  <c:v>0.45942735238095267</c:v>
                </c:pt>
                <c:pt idx="19">
                  <c:v>0.47484342857142892</c:v>
                </c:pt>
                <c:pt idx="20">
                  <c:v>0.4463908571428572</c:v>
                </c:pt>
                <c:pt idx="21">
                  <c:v>0.44387352380952194</c:v>
                </c:pt>
                <c:pt idx="22">
                  <c:v>0.41765485714285866</c:v>
                </c:pt>
                <c:pt idx="23">
                  <c:v>0.3841298285714263</c:v>
                </c:pt>
                <c:pt idx="24">
                  <c:v>0.366506057142856</c:v>
                </c:pt>
                <c:pt idx="25">
                  <c:v>0.34137173333333592</c:v>
                </c:pt>
                <c:pt idx="26">
                  <c:v>0.44675352380952305</c:v>
                </c:pt>
                <c:pt idx="27">
                  <c:v>0.43600761904761853</c:v>
                </c:pt>
                <c:pt idx="28">
                  <c:v>0.36964571428571524</c:v>
                </c:pt>
                <c:pt idx="29">
                  <c:v>0.40369493333333217</c:v>
                </c:pt>
                <c:pt idx="30">
                  <c:v>0.39004038095237803</c:v>
                </c:pt>
                <c:pt idx="31">
                  <c:v>0.45321447619047817</c:v>
                </c:pt>
                <c:pt idx="32">
                  <c:v>0.45846857142857012</c:v>
                </c:pt>
                <c:pt idx="33">
                  <c:v>0.42995687619047374</c:v>
                </c:pt>
                <c:pt idx="34">
                  <c:v>0.35954553904762143</c:v>
                </c:pt>
                <c:pt idx="35">
                  <c:v>0.47730285714285969</c:v>
                </c:pt>
                <c:pt idx="36">
                  <c:v>0.43390598095238353</c:v>
                </c:pt>
                <c:pt idx="37">
                  <c:v>0.40757942857143092</c:v>
                </c:pt>
                <c:pt idx="38">
                  <c:v>0.32467638857142767</c:v>
                </c:pt>
                <c:pt idx="39">
                  <c:v>0.24462021485714303</c:v>
                </c:pt>
                <c:pt idx="40">
                  <c:v>0.24462021485714214</c:v>
                </c:pt>
                <c:pt idx="41">
                  <c:v>0.21736843459047517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64608"/>
        <c:axId val="139374592"/>
      </c:scatterChart>
      <c:valAx>
        <c:axId val="139364608"/>
        <c:scaling>
          <c:orientation val="minMax"/>
        </c:scaling>
        <c:delete val="0"/>
        <c:axPos val="b"/>
        <c:numFmt formatCode="#,##0.00;[Red]\-#,##0.00;\-;@" sourceLinked="1"/>
        <c:majorTickMark val="out"/>
        <c:minorTickMark val="none"/>
        <c:tickLblPos val="nextTo"/>
        <c:crossAx val="139374592"/>
        <c:crosses val="autoZero"/>
        <c:crossBetween val="midCat"/>
      </c:valAx>
      <c:valAx>
        <c:axId val="139374592"/>
        <c:scaling>
          <c:orientation val="minMax"/>
        </c:scaling>
        <c:delete val="0"/>
        <c:axPos val="l"/>
        <c:majorGridlines/>
        <c:numFmt formatCode="#,##0.00;[Red]\-#,##0.00;\-;@" sourceLinked="1"/>
        <c:majorTickMark val="out"/>
        <c:minorTickMark val="none"/>
        <c:tickLblPos val="nextTo"/>
        <c:crossAx val="139364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Blad3!$F$45:$AU$45</c:f>
              <c:numCache>
                <c:formatCode>#,##0.00;[Red]\-#,##0.00;\-;@</c:formatCode>
                <c:ptCount val="42"/>
                <c:pt idx="0">
                  <c:v>8.5060863999999992</c:v>
                </c:pt>
                <c:pt idx="1">
                  <c:v>8.5514905599999977</c:v>
                </c:pt>
                <c:pt idx="2">
                  <c:v>8.8163676159999973</c:v>
                </c:pt>
                <c:pt idx="3">
                  <c:v>8.3821465599999989</c:v>
                </c:pt>
                <c:pt idx="4">
                  <c:v>8.6934108159999983</c:v>
                </c:pt>
                <c:pt idx="5">
                  <c:v>7.4261149695999951</c:v>
                </c:pt>
                <c:pt idx="6">
                  <c:v>8.1988956159999962</c:v>
                </c:pt>
                <c:pt idx="7">
                  <c:v>7.6329373695999934</c:v>
                </c:pt>
                <c:pt idx="8">
                  <c:v>7.7468317695999938</c:v>
                </c:pt>
                <c:pt idx="9">
                  <c:v>7.9992156159999963</c:v>
                </c:pt>
                <c:pt idx="10">
                  <c:v>7.1907420159999988</c:v>
                </c:pt>
                <c:pt idx="11">
                  <c:v>9.1254169600000044</c:v>
                </c:pt>
                <c:pt idx="12">
                  <c:v>6.3552501760000002</c:v>
                </c:pt>
                <c:pt idx="13">
                  <c:v>8.9674393599999984</c:v>
                </c:pt>
                <c:pt idx="14">
                  <c:v>9.1878553599999986</c:v>
                </c:pt>
                <c:pt idx="15">
                  <c:v>9.4848255999999989</c:v>
                </c:pt>
                <c:pt idx="16">
                  <c:v>11.541375999999994</c:v>
                </c:pt>
                <c:pt idx="17">
                  <c:v>9.967897599999997</c:v>
                </c:pt>
                <c:pt idx="18">
                  <c:v>9.7305855999999977</c:v>
                </c:pt>
                <c:pt idx="19">
                  <c:v>11.041407999999995</c:v>
                </c:pt>
                <c:pt idx="20">
                  <c:v>10.796953599999997</c:v>
                </c:pt>
                <c:pt idx="21">
                  <c:v>9.9957759999999958</c:v>
                </c:pt>
                <c:pt idx="22">
                  <c:v>10.331775999999994</c:v>
                </c:pt>
                <c:pt idx="23">
                  <c:v>8.4547071999999979</c:v>
                </c:pt>
                <c:pt idx="24">
                  <c:v>7.3190655999999965</c:v>
                </c:pt>
                <c:pt idx="25">
                  <c:v>7.0790655999999963</c:v>
                </c:pt>
                <c:pt idx="26">
                  <c:v>10.382847999999996</c:v>
                </c:pt>
                <c:pt idx="27">
                  <c:v>9.6540159999999968</c:v>
                </c:pt>
                <c:pt idx="28">
                  <c:v>8.1240832000000012</c:v>
                </c:pt>
                <c:pt idx="29">
                  <c:v>8.9602815999999983</c:v>
                </c:pt>
                <c:pt idx="30">
                  <c:v>8.3640831999999996</c:v>
                </c:pt>
                <c:pt idx="31">
                  <c:v>10.882047999999998</c:v>
                </c:pt>
                <c:pt idx="32">
                  <c:v>10.734975999999996</c:v>
                </c:pt>
                <c:pt idx="33">
                  <c:v>9.5406591999999968</c:v>
                </c:pt>
                <c:pt idx="34">
                  <c:v>7.3749913600000001</c:v>
                </c:pt>
                <c:pt idx="35">
                  <c:v>11.398527999999997</c:v>
                </c:pt>
                <c:pt idx="36">
                  <c:v>10.417177599999997</c:v>
                </c:pt>
                <c:pt idx="37">
                  <c:v>9.0535167999999988</c:v>
                </c:pt>
                <c:pt idx="38">
                  <c:v>7.07051008</c:v>
                </c:pt>
                <c:pt idx="39">
                  <c:v>5.506306047999999</c:v>
                </c:pt>
                <c:pt idx="40">
                  <c:v>5.5063060479999999</c:v>
                </c:pt>
                <c:pt idx="41">
                  <c:v>4.1837836288000005</c:v>
                </c:pt>
              </c:numCache>
            </c:numRef>
          </c:xVal>
          <c:yVal>
            <c:numRef>
              <c:f>Blad3!$F$46:$AU$46</c:f>
              <c:numCache>
                <c:formatCode>#,##0.00;[Red]\-#,##0.00;\-;@</c:formatCode>
                <c:ptCount val="42"/>
                <c:pt idx="0">
                  <c:v>0.43544990476189938</c:v>
                </c:pt>
                <c:pt idx="1">
                  <c:v>0.4155562666666679</c:v>
                </c:pt>
                <c:pt idx="2">
                  <c:v>0.4651309104761836</c:v>
                </c:pt>
                <c:pt idx="3">
                  <c:v>0.38368426666666622</c:v>
                </c:pt>
                <c:pt idx="4">
                  <c:v>0.41808944761904243</c:v>
                </c:pt>
                <c:pt idx="5">
                  <c:v>0.43936119466665957</c:v>
                </c:pt>
                <c:pt idx="6">
                  <c:v>0.36667891809523923</c:v>
                </c:pt>
                <c:pt idx="7">
                  <c:v>0.40759361828571272</c:v>
                </c:pt>
                <c:pt idx="8">
                  <c:v>0.40485529599999914</c:v>
                </c:pt>
                <c:pt idx="9">
                  <c:v>0.40957159619047445</c:v>
                </c:pt>
                <c:pt idx="10">
                  <c:v>0.38294759619047447</c:v>
                </c:pt>
                <c:pt idx="11">
                  <c:v>0.43172571428571516</c:v>
                </c:pt>
                <c:pt idx="12">
                  <c:v>0.40211711999999977</c:v>
                </c:pt>
                <c:pt idx="13">
                  <c:v>0.49437805714285332</c:v>
                </c:pt>
                <c:pt idx="14">
                  <c:v>0.50710308571428975</c:v>
                </c:pt>
                <c:pt idx="15">
                  <c:v>0.50357333333333543</c:v>
                </c:pt>
                <c:pt idx="16">
                  <c:v>0.50124190476190478</c:v>
                </c:pt>
                <c:pt idx="17">
                  <c:v>0.46174780952380878</c:v>
                </c:pt>
                <c:pt idx="18">
                  <c:v>0.53474438095238774</c:v>
                </c:pt>
                <c:pt idx="19">
                  <c:v>0.52576000000000178</c:v>
                </c:pt>
                <c:pt idx="20">
                  <c:v>0.48480609523809548</c:v>
                </c:pt>
                <c:pt idx="21">
                  <c:v>0.50180571428571419</c:v>
                </c:pt>
                <c:pt idx="22">
                  <c:v>0.44921904761904585</c:v>
                </c:pt>
                <c:pt idx="23">
                  <c:v>0.44300190476190338</c:v>
                </c:pt>
                <c:pt idx="24">
                  <c:v>0.44367238095237838</c:v>
                </c:pt>
                <c:pt idx="25">
                  <c:v>0.40813104761904739</c:v>
                </c:pt>
                <c:pt idx="26">
                  <c:v>0.49636571428570875</c:v>
                </c:pt>
                <c:pt idx="27">
                  <c:v>0.49773714285714732</c:v>
                </c:pt>
                <c:pt idx="28">
                  <c:v>0.42760838095238363</c:v>
                </c:pt>
                <c:pt idx="29">
                  <c:v>0.46223542857142697</c:v>
                </c:pt>
                <c:pt idx="30">
                  <c:v>0.45525028571428017</c:v>
                </c:pt>
                <c:pt idx="31">
                  <c:v>0.49392761904761784</c:v>
                </c:pt>
                <c:pt idx="32">
                  <c:v>0.50657523809524463</c:v>
                </c:pt>
                <c:pt idx="33">
                  <c:v>0.49065142857142874</c:v>
                </c:pt>
                <c:pt idx="34">
                  <c:v>0.43059199999999898</c:v>
                </c:pt>
                <c:pt idx="35">
                  <c:v>0.52041142857142475</c:v>
                </c:pt>
                <c:pt idx="36">
                  <c:v>0.47404495238095024</c:v>
                </c:pt>
                <c:pt idx="37">
                  <c:v>0.46624304761904511</c:v>
                </c:pt>
                <c:pt idx="38">
                  <c:v>0.3805318095238075</c:v>
                </c:pt>
                <c:pt idx="39">
                  <c:v>0.28848591238095622</c:v>
                </c:pt>
                <c:pt idx="40">
                  <c:v>0.28848591238095622</c:v>
                </c:pt>
                <c:pt idx="41">
                  <c:v>0.27805364419047773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99648"/>
        <c:axId val="215113728"/>
      </c:scatterChart>
      <c:valAx>
        <c:axId val="215099648"/>
        <c:scaling>
          <c:orientation val="minMax"/>
        </c:scaling>
        <c:delete val="0"/>
        <c:axPos val="b"/>
        <c:numFmt formatCode="#,##0.00;[Red]\-#,##0.00;\-;@" sourceLinked="1"/>
        <c:majorTickMark val="out"/>
        <c:minorTickMark val="none"/>
        <c:tickLblPos val="nextTo"/>
        <c:crossAx val="215113728"/>
        <c:crosses val="autoZero"/>
        <c:crossBetween val="midCat"/>
      </c:valAx>
      <c:valAx>
        <c:axId val="215113728"/>
        <c:scaling>
          <c:orientation val="minMax"/>
        </c:scaling>
        <c:delete val="0"/>
        <c:axPos val="l"/>
        <c:majorGridlines/>
        <c:numFmt formatCode="#,##0.00;[Red]\-#,##0.00;\-;@" sourceLinked="1"/>
        <c:majorTickMark val="out"/>
        <c:minorTickMark val="none"/>
        <c:tickLblPos val="nextTo"/>
        <c:crossAx val="215099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xVal>
            <c:numRef>
              <c:f>Blad2!$E$1:$E$42</c:f>
              <c:numCache>
                <c:formatCode>_(* #,##0.00_);_(* \(#,##0.00\);_(* "-"??_);_(@_)</c:formatCode>
                <c:ptCount val="42"/>
                <c:pt idx="0">
                  <c:v>5.1734210418690054</c:v>
                </c:pt>
                <c:pt idx="1">
                  <c:v>5.3643970351411987</c:v>
                </c:pt>
                <c:pt idx="2">
                  <c:v>6.1636214325261367</c:v>
                </c:pt>
                <c:pt idx="3">
                  <c:v>5.3672715696786533</c:v>
                </c:pt>
                <c:pt idx="4">
                  <c:v>5.6134237695190894</c:v>
                </c:pt>
                <c:pt idx="5">
                  <c:v>4.3393520311525924</c:v>
                </c:pt>
                <c:pt idx="6">
                  <c:v>7.9117170420241454</c:v>
                </c:pt>
                <c:pt idx="7">
                  <c:v>4.4109883210139857</c:v>
                </c:pt>
                <c:pt idx="8">
                  <c:v>4.7465904042283142</c:v>
                </c:pt>
                <c:pt idx="9">
                  <c:v>7.1200292950850521</c:v>
                </c:pt>
                <c:pt idx="10">
                  <c:v>7.8101557721307886</c:v>
                </c:pt>
                <c:pt idx="11">
                  <c:v>6.3472061043413444</c:v>
                </c:pt>
                <c:pt idx="12">
                  <c:v>7.4666229390569647</c:v>
                </c:pt>
                <c:pt idx="13">
                  <c:v>1.9620838799207951</c:v>
                </c:pt>
                <c:pt idx="14">
                  <c:v>2.8654634128062919</c:v>
                </c:pt>
                <c:pt idx="15">
                  <c:v>2.8654634128062919</c:v>
                </c:pt>
                <c:pt idx="16">
                  <c:v>4.0131105683365718</c:v>
                </c:pt>
                <c:pt idx="17">
                  <c:v>4.818601074533948</c:v>
                </c:pt>
                <c:pt idx="18">
                  <c:v>6.4202978883319579</c:v>
                </c:pt>
                <c:pt idx="19">
                  <c:v>7.6424351052792598</c:v>
                </c:pt>
                <c:pt idx="20">
                  <c:v>8.3467802928453914</c:v>
                </c:pt>
                <c:pt idx="21">
                  <c:v>8.4950916439803894</c:v>
                </c:pt>
                <c:pt idx="22">
                  <c:v>8.6809236265624978</c:v>
                </c:pt>
                <c:pt idx="23">
                  <c:v>8.7216731603256648</c:v>
                </c:pt>
                <c:pt idx="24">
                  <c:v>5.7754158123569974</c:v>
                </c:pt>
                <c:pt idx="25">
                  <c:v>5.9707920859472869</c:v>
                </c:pt>
                <c:pt idx="26">
                  <c:v>6.2676118852796794</c:v>
                </c:pt>
                <c:pt idx="27">
                  <c:v>6.7122825617468882</c:v>
                </c:pt>
                <c:pt idx="28">
                  <c:v>7.015355223057667</c:v>
                </c:pt>
                <c:pt idx="29">
                  <c:v>7.3393985967318534</c:v>
                </c:pt>
                <c:pt idx="30">
                  <c:v>7.8808654711507318</c:v>
                </c:pt>
                <c:pt idx="31">
                  <c:v>5.430491610122119</c:v>
                </c:pt>
                <c:pt idx="32">
                  <c:v>7.7978441770637588</c:v>
                </c:pt>
                <c:pt idx="33">
                  <c:v>7.8049497810623842</c:v>
                </c:pt>
                <c:pt idx="34">
                  <c:v>4.3007109368970262</c:v>
                </c:pt>
                <c:pt idx="35">
                  <c:v>4.3187819606545821</c:v>
                </c:pt>
                <c:pt idx="36">
                  <c:v>5.2270980402403957</c:v>
                </c:pt>
                <c:pt idx="37">
                  <c:v>4.5927547130610407</c:v>
                </c:pt>
                <c:pt idx="38">
                  <c:v>4.8064196553190452</c:v>
                </c:pt>
                <c:pt idx="39">
                  <c:v>5.0285927174550462</c:v>
                </c:pt>
                <c:pt idx="40">
                  <c:v>5.0550796621301011</c:v>
                </c:pt>
                <c:pt idx="41">
                  <c:v>4.2879443344240489</c:v>
                </c:pt>
              </c:numCache>
            </c:numRef>
          </c:xVal>
          <c:yVal>
            <c:numRef>
              <c:f>Blad2!$F$1:$F$42</c:f>
              <c:numCache>
                <c:formatCode>_(* #,##0.00_);_(* \(#,##0.00\);_(* "-"??_);_(@_)</c:formatCode>
                <c:ptCount val="42"/>
                <c:pt idx="0">
                  <c:v>7.0790655999999963</c:v>
                </c:pt>
                <c:pt idx="1">
                  <c:v>7.3190655999999965</c:v>
                </c:pt>
                <c:pt idx="2">
                  <c:v>8.4547071999999979</c:v>
                </c:pt>
                <c:pt idx="3">
                  <c:v>8.1240832000000012</c:v>
                </c:pt>
                <c:pt idx="4">
                  <c:v>8.3640831999999996</c:v>
                </c:pt>
                <c:pt idx="5">
                  <c:v>7.07051008</c:v>
                </c:pt>
                <c:pt idx="6">
                  <c:v>10.382847999999996</c:v>
                </c:pt>
                <c:pt idx="7">
                  <c:v>7.1907420159999988</c:v>
                </c:pt>
                <c:pt idx="8">
                  <c:v>7.3749913600000001</c:v>
                </c:pt>
                <c:pt idx="9">
                  <c:v>9.4848255999999989</c:v>
                </c:pt>
                <c:pt idx="10">
                  <c:v>10.331775999999994</c:v>
                </c:pt>
                <c:pt idx="11">
                  <c:v>9.0535167999999988</c:v>
                </c:pt>
                <c:pt idx="12">
                  <c:v>9.7305855999999977</c:v>
                </c:pt>
                <c:pt idx="13">
                  <c:v>4.1837836288000005</c:v>
                </c:pt>
                <c:pt idx="14">
                  <c:v>5.506306047999999</c:v>
                </c:pt>
                <c:pt idx="15">
                  <c:v>5.5063060479999999</c:v>
                </c:pt>
                <c:pt idx="16">
                  <c:v>6.3552501760000002</c:v>
                </c:pt>
                <c:pt idx="17">
                  <c:v>7.9992156159999963</c:v>
                </c:pt>
                <c:pt idx="18">
                  <c:v>9.1878553599999986</c:v>
                </c:pt>
                <c:pt idx="19">
                  <c:v>9.9957759999999958</c:v>
                </c:pt>
                <c:pt idx="20">
                  <c:v>10.882047999999998</c:v>
                </c:pt>
                <c:pt idx="21">
                  <c:v>11.041407999999995</c:v>
                </c:pt>
                <c:pt idx="22">
                  <c:v>11.398527999999997</c:v>
                </c:pt>
                <c:pt idx="23">
                  <c:v>11.541375999999994</c:v>
                </c:pt>
                <c:pt idx="24">
                  <c:v>8.9602815999999983</c:v>
                </c:pt>
                <c:pt idx="25">
                  <c:v>8.9674393599999984</c:v>
                </c:pt>
                <c:pt idx="26">
                  <c:v>9.1254169600000044</c:v>
                </c:pt>
                <c:pt idx="27">
                  <c:v>9.5406591999999968</c:v>
                </c:pt>
                <c:pt idx="28">
                  <c:v>9.6540159999999968</c:v>
                </c:pt>
                <c:pt idx="29">
                  <c:v>9.967897599999997</c:v>
                </c:pt>
                <c:pt idx="30">
                  <c:v>10.796953599999997</c:v>
                </c:pt>
                <c:pt idx="31">
                  <c:v>8.8163676159999973</c:v>
                </c:pt>
                <c:pt idx="32">
                  <c:v>10.417177599999997</c:v>
                </c:pt>
                <c:pt idx="33">
                  <c:v>10.734975999999996</c:v>
                </c:pt>
                <c:pt idx="34">
                  <c:v>7.4261149695999951</c:v>
                </c:pt>
                <c:pt idx="35">
                  <c:v>7.6329373695999934</c:v>
                </c:pt>
                <c:pt idx="36">
                  <c:v>8.6934108159999983</c:v>
                </c:pt>
                <c:pt idx="37">
                  <c:v>8.1988956159999962</c:v>
                </c:pt>
                <c:pt idx="38">
                  <c:v>8.3821465599999989</c:v>
                </c:pt>
                <c:pt idx="39">
                  <c:v>8.5060863999999992</c:v>
                </c:pt>
                <c:pt idx="40">
                  <c:v>8.5514905599999977</c:v>
                </c:pt>
                <c:pt idx="41">
                  <c:v>7.7468317695999938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42784"/>
        <c:axId val="220744320"/>
      </c:scatterChart>
      <c:valAx>
        <c:axId val="220742784"/>
        <c:scaling>
          <c:orientation val="minMax"/>
        </c:scaling>
        <c:delete val="0"/>
        <c:axPos val="b"/>
        <c:numFmt formatCode="_(* #,##0.00_);_(* \(#,##0.00\);_(* &quot;-&quot;??_);_(@_)" sourceLinked="1"/>
        <c:majorTickMark val="out"/>
        <c:minorTickMark val="none"/>
        <c:tickLblPos val="nextTo"/>
        <c:crossAx val="220744320"/>
        <c:crosses val="autoZero"/>
        <c:crossBetween val="midCat"/>
      </c:valAx>
      <c:valAx>
        <c:axId val="22074432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2207427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175260</xdr:colOff>
      <xdr:row>48</xdr:row>
      <xdr:rowOff>102870</xdr:rowOff>
    </xdr:from>
    <xdr:to>
      <xdr:col>42</xdr:col>
      <xdr:colOff>137160</xdr:colOff>
      <xdr:row>72</xdr:row>
      <xdr:rowOff>152400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155655</xdr:colOff>
      <xdr:row>52</xdr:row>
      <xdr:rowOff>34494</xdr:rowOff>
    </xdr:from>
    <xdr:to>
      <xdr:col>45</xdr:col>
      <xdr:colOff>17929</xdr:colOff>
      <xdr:row>67</xdr:row>
      <xdr:rowOff>973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434340</xdr:colOff>
      <xdr:row>22</xdr:row>
      <xdr:rowOff>26670</xdr:rowOff>
    </xdr:from>
    <xdr:to>
      <xdr:col>17</xdr:col>
      <xdr:colOff>129540</xdr:colOff>
      <xdr:row>37</xdr:row>
      <xdr:rowOff>26670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P165"/>
  <sheetViews>
    <sheetView zoomScaleNormal="100" workbookViewId="0">
      <pane xSplit="5" ySplit="6" topLeftCell="F17" activePane="bottomRight" state="frozen"/>
      <selection pane="topRight" activeCell="C1" sqref="C1"/>
      <selection pane="bottomLeft" activeCell="A3" sqref="A3"/>
      <selection pane="bottomRight" activeCell="D5" sqref="D5:AU48"/>
    </sheetView>
  </sheetViews>
  <sheetFormatPr defaultRowHeight="15" x14ac:dyDescent="0.25"/>
  <cols>
    <col min="4" max="4" width="6.28515625" customWidth="1"/>
    <col min="5" max="5" width="12.28515625" bestFit="1" customWidth="1"/>
    <col min="6" max="6" width="2.7109375" style="3" customWidth="1"/>
    <col min="7" max="13" width="2.7109375" style="1" customWidth="1"/>
    <col min="14" max="14" width="2.7109375" style="2" customWidth="1"/>
    <col min="15" max="15" width="2.7109375" style="3" customWidth="1"/>
    <col min="16" max="17" width="2.7109375" style="1" customWidth="1"/>
    <col min="18" max="18" width="2.7109375" style="2" customWidth="1"/>
    <col min="19" max="19" width="2.7109375" style="3" customWidth="1"/>
    <col min="20" max="24" width="2.7109375" style="1" customWidth="1"/>
    <col min="25" max="25" width="2.7109375" style="2" customWidth="1"/>
    <col min="26" max="26" width="2.7109375" style="3" customWidth="1"/>
    <col min="27" max="30" width="2.7109375" style="1" customWidth="1"/>
    <col min="31" max="31" width="2.7109375" style="2" customWidth="1"/>
    <col min="32" max="32" width="2.7109375" style="3" customWidth="1"/>
    <col min="33" max="42" width="2.7109375" style="1" customWidth="1"/>
    <col min="43" max="43" width="2.7109375" style="2" customWidth="1"/>
    <col min="44" max="44" width="2.7109375" style="3" customWidth="1"/>
    <col min="45" max="46" width="2.7109375" style="1" customWidth="1"/>
    <col min="47" max="47" width="2.7109375" style="2" customWidth="1"/>
    <col min="48" max="48" width="3.140625" customWidth="1"/>
    <col min="49" max="49" width="6.28515625" customWidth="1"/>
    <col min="50" max="50" width="3" customWidth="1"/>
    <col min="51" max="51" width="7.28515625" customWidth="1"/>
    <col min="52" max="94" width="2.7109375" customWidth="1"/>
  </cols>
  <sheetData>
    <row r="1" spans="1:94" ht="14.45" x14ac:dyDescent="0.3">
      <c r="F1" s="28">
        <v>0.6</v>
      </c>
      <c r="G1" s="28">
        <v>0.6</v>
      </c>
      <c r="H1" s="28">
        <v>0.6</v>
      </c>
      <c r="I1" s="28">
        <v>0.6</v>
      </c>
      <c r="J1" s="28">
        <v>0.6</v>
      </c>
      <c r="K1" s="28">
        <v>0.6</v>
      </c>
      <c r="L1" s="28">
        <v>0.6</v>
      </c>
      <c r="M1" s="28">
        <v>0.6</v>
      </c>
      <c r="N1" s="28">
        <v>0.6</v>
      </c>
      <c r="O1" s="28">
        <v>0.6</v>
      </c>
      <c r="P1" s="28">
        <v>0.6</v>
      </c>
      <c r="Q1" s="28">
        <v>0.6</v>
      </c>
      <c r="R1" s="28">
        <v>0.6</v>
      </c>
      <c r="S1" s="28">
        <v>0.6</v>
      </c>
      <c r="T1" s="28">
        <v>0.6</v>
      </c>
      <c r="U1" s="28">
        <v>0.6</v>
      </c>
      <c r="V1" s="28">
        <v>0.6</v>
      </c>
      <c r="W1" s="28">
        <v>0.6</v>
      </c>
      <c r="X1" s="28">
        <v>0.6</v>
      </c>
      <c r="Y1" s="28">
        <v>0.6</v>
      </c>
      <c r="Z1" s="28">
        <v>0.6</v>
      </c>
      <c r="AA1" s="28">
        <v>0.6</v>
      </c>
      <c r="AB1" s="28">
        <v>0.6</v>
      </c>
      <c r="AC1" s="28">
        <v>0.6</v>
      </c>
      <c r="AD1" s="28">
        <v>0.6</v>
      </c>
      <c r="AE1" s="28">
        <v>0.6</v>
      </c>
      <c r="AF1" s="28">
        <v>0.6</v>
      </c>
      <c r="AG1" s="28">
        <v>0.6</v>
      </c>
      <c r="AH1" s="28">
        <v>0.6</v>
      </c>
      <c r="AI1" s="28">
        <v>0.6</v>
      </c>
      <c r="AJ1" s="28">
        <v>0.6</v>
      </c>
      <c r="AK1" s="28">
        <v>0.6</v>
      </c>
      <c r="AL1" s="28">
        <v>0.6</v>
      </c>
      <c r="AM1" s="28">
        <v>0.6</v>
      </c>
      <c r="AN1" s="28">
        <v>0.6</v>
      </c>
      <c r="AO1" s="28">
        <v>0.6</v>
      </c>
      <c r="AP1" s="28">
        <v>0.6</v>
      </c>
      <c r="AQ1" s="28">
        <v>0.6</v>
      </c>
      <c r="AR1" s="28">
        <v>0.6</v>
      </c>
      <c r="AS1" s="28">
        <v>0.6</v>
      </c>
      <c r="AT1" s="28">
        <v>0.6</v>
      </c>
      <c r="AU1" s="28">
        <v>0.6</v>
      </c>
    </row>
    <row r="2" spans="1:94" ht="14.45" x14ac:dyDescent="0.3">
      <c r="F2" s="8"/>
      <c r="G2" s="9"/>
      <c r="H2" s="9"/>
      <c r="I2" s="9"/>
      <c r="J2" s="9"/>
      <c r="K2" s="9"/>
      <c r="L2" s="9"/>
      <c r="M2" s="9"/>
      <c r="N2" s="10"/>
      <c r="O2" s="8"/>
      <c r="P2" s="9"/>
      <c r="Q2" s="9"/>
      <c r="R2" s="10"/>
      <c r="S2" s="8"/>
      <c r="T2" s="9"/>
      <c r="U2" s="9"/>
      <c r="V2" s="9"/>
      <c r="W2" s="9"/>
      <c r="X2" s="9"/>
      <c r="Y2" s="10"/>
      <c r="Z2" s="8"/>
      <c r="AA2" s="9"/>
      <c r="AB2" s="9"/>
      <c r="AC2" s="9"/>
      <c r="AD2" s="9"/>
      <c r="AE2" s="10"/>
      <c r="AF2" s="8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R2" s="8"/>
      <c r="AS2" s="9"/>
      <c r="AT2" s="9"/>
      <c r="AU2" s="10"/>
    </row>
    <row r="3" spans="1:94" ht="14.45" x14ac:dyDescent="0.3">
      <c r="F3" s="6">
        <f ca="1">INDEX($AY$7:$AY$48,F5,1)</f>
        <v>1.686093278847487E-201</v>
      </c>
      <c r="G3" s="6">
        <f t="shared" ref="G3:AU3" ca="1" si="0">INDEX($AY$7:$AY$48,G5,1)</f>
        <v>1.686093278847487E-201</v>
      </c>
      <c r="H3" s="6">
        <f t="shared" ca="1" si="0"/>
        <v>1.686093278847487E-201</v>
      </c>
      <c r="I3" s="6">
        <f t="shared" ca="1" si="0"/>
        <v>1.686093278847487E-201</v>
      </c>
      <c r="J3" s="6">
        <f t="shared" ca="1" si="0"/>
        <v>1.686093278847487E-201</v>
      </c>
      <c r="K3" s="6">
        <f t="shared" ca="1" si="0"/>
        <v>1.686093278847487E-201</v>
      </c>
      <c r="L3" s="6">
        <f t="shared" ca="1" si="0"/>
        <v>1.686093278847487E-201</v>
      </c>
      <c r="M3" s="6">
        <f t="shared" ca="1" si="0"/>
        <v>1.686093278847487E-201</v>
      </c>
      <c r="N3" s="6">
        <f t="shared" ca="1" si="0"/>
        <v>1.686093278847487E-201</v>
      </c>
      <c r="O3" s="6">
        <f t="shared" ca="1" si="0"/>
        <v>1.686093278847487E-201</v>
      </c>
      <c r="P3" s="6">
        <f t="shared" ca="1" si="0"/>
        <v>1.686093278847487E-201</v>
      </c>
      <c r="Q3" s="6">
        <f t="shared" ca="1" si="0"/>
        <v>1.686093278847487E-201</v>
      </c>
      <c r="R3" s="6">
        <f t="shared" ca="1" si="0"/>
        <v>1.686093278847487E-201</v>
      </c>
      <c r="S3" s="6">
        <f t="shared" ca="1" si="0"/>
        <v>1.686093278847487E-201</v>
      </c>
      <c r="T3" s="6">
        <f t="shared" ca="1" si="0"/>
        <v>1.686093278847487E-201</v>
      </c>
      <c r="U3" s="6">
        <f t="shared" ca="1" si="0"/>
        <v>1.686093278847487E-201</v>
      </c>
      <c r="V3" s="6">
        <f t="shared" ca="1" si="0"/>
        <v>1.686093278847487E-201</v>
      </c>
      <c r="W3" s="6">
        <f t="shared" ca="1" si="0"/>
        <v>1.686093278847487E-201</v>
      </c>
      <c r="X3" s="6">
        <f t="shared" ca="1" si="0"/>
        <v>1.686093278847487E-201</v>
      </c>
      <c r="Y3" s="6">
        <f t="shared" ca="1" si="0"/>
        <v>1.686093278847487E-201</v>
      </c>
      <c r="Z3" s="6">
        <f t="shared" ca="1" si="0"/>
        <v>1.686093278847487E-201</v>
      </c>
      <c r="AA3" s="6">
        <f t="shared" ca="1" si="0"/>
        <v>1.686093278847487E-201</v>
      </c>
      <c r="AB3" s="6">
        <f t="shared" ca="1" si="0"/>
        <v>1.686093278847487E-201</v>
      </c>
      <c r="AC3" s="6">
        <f t="shared" ca="1" si="0"/>
        <v>1.686093278847487E-201</v>
      </c>
      <c r="AD3" s="6">
        <f t="shared" ca="1" si="0"/>
        <v>1.686093278847487E-201</v>
      </c>
      <c r="AE3" s="6">
        <f t="shared" ca="1" si="0"/>
        <v>1.686093278847487E-201</v>
      </c>
      <c r="AF3" s="6">
        <f t="shared" ca="1" si="0"/>
        <v>1.686093278847487E-201</v>
      </c>
      <c r="AG3" s="6">
        <f t="shared" ca="1" si="0"/>
        <v>1.686093278847487E-201</v>
      </c>
      <c r="AH3" s="6">
        <f t="shared" ca="1" si="0"/>
        <v>1.686093278847487E-201</v>
      </c>
      <c r="AI3" s="6">
        <f t="shared" ca="1" si="0"/>
        <v>1.686093278847487E-201</v>
      </c>
      <c r="AJ3" s="6">
        <f t="shared" ca="1" si="0"/>
        <v>1.686093278847487E-201</v>
      </c>
      <c r="AK3" s="6">
        <f t="shared" ca="1" si="0"/>
        <v>1.686093278847487E-201</v>
      </c>
      <c r="AL3" s="6">
        <f t="shared" ca="1" si="0"/>
        <v>1.686093278847487E-201</v>
      </c>
      <c r="AM3" s="6">
        <f t="shared" ca="1" si="0"/>
        <v>1.686093278847487E-201</v>
      </c>
      <c r="AN3" s="6">
        <f t="shared" ca="1" si="0"/>
        <v>1.686093278847487E-201</v>
      </c>
      <c r="AO3" s="6">
        <f t="shared" ca="1" si="0"/>
        <v>1.686093278847487E-201</v>
      </c>
      <c r="AP3" s="6">
        <f t="shared" ca="1" si="0"/>
        <v>1.686093278847487E-201</v>
      </c>
      <c r="AQ3" s="6">
        <f t="shared" ca="1" si="0"/>
        <v>1.686093278847487E-201</v>
      </c>
      <c r="AR3" s="6">
        <f t="shared" ca="1" si="0"/>
        <v>1.686093278847487E-201</v>
      </c>
      <c r="AS3" s="6">
        <f t="shared" ca="1" si="0"/>
        <v>1.686093278847487E-201</v>
      </c>
      <c r="AT3" s="6">
        <f t="shared" ca="1" si="0"/>
        <v>1.686093278847487E-201</v>
      </c>
      <c r="AU3" s="6">
        <f t="shared" ca="1" si="0"/>
        <v>1.686093278847487E-201</v>
      </c>
    </row>
    <row r="4" spans="1:94" ht="14.45" x14ac:dyDescent="0.3">
      <c r="E4" s="5"/>
      <c r="F4" s="24">
        <f ca="1">MAX(F2:F3)</f>
        <v>1.686093278847487E-201</v>
      </c>
      <c r="G4" s="24">
        <f t="shared" ref="G4:AU4" ca="1" si="1">MAX(G2:G3)</f>
        <v>1.686093278847487E-201</v>
      </c>
      <c r="H4" s="24">
        <f t="shared" ca="1" si="1"/>
        <v>1.686093278847487E-201</v>
      </c>
      <c r="I4" s="24">
        <f t="shared" ca="1" si="1"/>
        <v>1.686093278847487E-201</v>
      </c>
      <c r="J4" s="24">
        <f t="shared" ca="1" si="1"/>
        <v>1.686093278847487E-201</v>
      </c>
      <c r="K4" s="24">
        <f t="shared" ca="1" si="1"/>
        <v>1.686093278847487E-201</v>
      </c>
      <c r="L4" s="24">
        <f t="shared" ca="1" si="1"/>
        <v>1.686093278847487E-201</v>
      </c>
      <c r="M4" s="24">
        <f t="shared" ca="1" si="1"/>
        <v>1.686093278847487E-201</v>
      </c>
      <c r="N4" s="24">
        <f t="shared" ca="1" si="1"/>
        <v>1.686093278847487E-201</v>
      </c>
      <c r="O4" s="24">
        <f t="shared" ca="1" si="1"/>
        <v>1.686093278847487E-201</v>
      </c>
      <c r="P4" s="24">
        <f t="shared" ca="1" si="1"/>
        <v>1.686093278847487E-201</v>
      </c>
      <c r="Q4" s="24">
        <f t="shared" ca="1" si="1"/>
        <v>1.686093278847487E-201</v>
      </c>
      <c r="R4" s="24">
        <f t="shared" ca="1" si="1"/>
        <v>1.686093278847487E-201</v>
      </c>
      <c r="S4" s="24">
        <f t="shared" ca="1" si="1"/>
        <v>1.686093278847487E-201</v>
      </c>
      <c r="T4" s="24">
        <f t="shared" ca="1" si="1"/>
        <v>1.686093278847487E-201</v>
      </c>
      <c r="U4" s="24">
        <f t="shared" ca="1" si="1"/>
        <v>1.686093278847487E-201</v>
      </c>
      <c r="V4" s="24">
        <f t="shared" ca="1" si="1"/>
        <v>1.686093278847487E-201</v>
      </c>
      <c r="W4" s="24">
        <f t="shared" ca="1" si="1"/>
        <v>1.686093278847487E-201</v>
      </c>
      <c r="X4" s="24">
        <f t="shared" ca="1" si="1"/>
        <v>1.686093278847487E-201</v>
      </c>
      <c r="Y4" s="24">
        <f t="shared" ca="1" si="1"/>
        <v>1.686093278847487E-201</v>
      </c>
      <c r="Z4" s="24">
        <f t="shared" ca="1" si="1"/>
        <v>1.686093278847487E-201</v>
      </c>
      <c r="AA4" s="24">
        <f t="shared" ca="1" si="1"/>
        <v>1.686093278847487E-201</v>
      </c>
      <c r="AB4" s="24">
        <f t="shared" ca="1" si="1"/>
        <v>1.686093278847487E-201</v>
      </c>
      <c r="AC4" s="24">
        <f t="shared" ca="1" si="1"/>
        <v>1.686093278847487E-201</v>
      </c>
      <c r="AD4" s="24">
        <f t="shared" ca="1" si="1"/>
        <v>1.686093278847487E-201</v>
      </c>
      <c r="AE4" s="24">
        <f t="shared" ca="1" si="1"/>
        <v>1.686093278847487E-201</v>
      </c>
      <c r="AF4" s="24">
        <f t="shared" ca="1" si="1"/>
        <v>1.686093278847487E-201</v>
      </c>
      <c r="AG4" s="24">
        <f t="shared" ca="1" si="1"/>
        <v>1.686093278847487E-201</v>
      </c>
      <c r="AH4" s="24">
        <f t="shared" ca="1" si="1"/>
        <v>1.686093278847487E-201</v>
      </c>
      <c r="AI4" s="24">
        <f t="shared" ca="1" si="1"/>
        <v>1.686093278847487E-201</v>
      </c>
      <c r="AJ4" s="24">
        <f t="shared" ca="1" si="1"/>
        <v>1.686093278847487E-201</v>
      </c>
      <c r="AK4" s="24">
        <f t="shared" ca="1" si="1"/>
        <v>1.686093278847487E-201</v>
      </c>
      <c r="AL4" s="24">
        <f t="shared" ca="1" si="1"/>
        <v>1.686093278847487E-201</v>
      </c>
      <c r="AM4" s="24">
        <f t="shared" ca="1" si="1"/>
        <v>1.686093278847487E-201</v>
      </c>
      <c r="AN4" s="24">
        <f t="shared" ca="1" si="1"/>
        <v>1.686093278847487E-201</v>
      </c>
      <c r="AO4" s="24">
        <f t="shared" ca="1" si="1"/>
        <v>1.686093278847487E-201</v>
      </c>
      <c r="AP4" s="24">
        <f t="shared" ca="1" si="1"/>
        <v>1.686093278847487E-201</v>
      </c>
      <c r="AQ4" s="24">
        <f t="shared" ca="1" si="1"/>
        <v>1.686093278847487E-201</v>
      </c>
      <c r="AR4" s="24">
        <f t="shared" ca="1" si="1"/>
        <v>1.686093278847487E-201</v>
      </c>
      <c r="AS4" s="24">
        <f t="shared" ca="1" si="1"/>
        <v>1.686093278847487E-201</v>
      </c>
      <c r="AT4" s="24">
        <f t="shared" ca="1" si="1"/>
        <v>1.686093278847487E-201</v>
      </c>
      <c r="AU4" s="24">
        <f t="shared" ca="1" si="1"/>
        <v>1.686093278847487E-201</v>
      </c>
    </row>
    <row r="5" spans="1:94" ht="14.45" x14ac:dyDescent="0.3">
      <c r="F5" s="17">
        <v>1</v>
      </c>
      <c r="G5" s="18">
        <v>2</v>
      </c>
      <c r="H5" s="18">
        <v>3</v>
      </c>
      <c r="I5" s="18">
        <v>4</v>
      </c>
      <c r="J5" s="18">
        <v>5</v>
      </c>
      <c r="K5" s="18">
        <v>6</v>
      </c>
      <c r="L5" s="18">
        <v>7</v>
      </c>
      <c r="M5" s="18">
        <v>8</v>
      </c>
      <c r="N5" s="19">
        <v>9</v>
      </c>
      <c r="O5" s="17">
        <v>10</v>
      </c>
      <c r="P5" s="18">
        <v>11</v>
      </c>
      <c r="Q5" s="18">
        <v>12</v>
      </c>
      <c r="R5" s="19">
        <v>13</v>
      </c>
      <c r="S5" s="17">
        <v>14</v>
      </c>
      <c r="T5" s="18">
        <v>15</v>
      </c>
      <c r="U5" s="18">
        <v>16</v>
      </c>
      <c r="V5" s="18">
        <v>17</v>
      </c>
      <c r="W5" s="18">
        <v>18</v>
      </c>
      <c r="X5" s="18">
        <v>19</v>
      </c>
      <c r="Y5" s="19">
        <v>20</v>
      </c>
      <c r="Z5" s="17">
        <v>21</v>
      </c>
      <c r="AA5" s="18">
        <v>22</v>
      </c>
      <c r="AB5" s="18">
        <v>23</v>
      </c>
      <c r="AC5" s="18">
        <v>24</v>
      </c>
      <c r="AD5" s="18">
        <v>25</v>
      </c>
      <c r="AE5" s="19">
        <v>26</v>
      </c>
      <c r="AF5" s="17">
        <v>27</v>
      </c>
      <c r="AG5" s="18">
        <v>28</v>
      </c>
      <c r="AH5" s="18">
        <v>29</v>
      </c>
      <c r="AI5" s="18">
        <v>30</v>
      </c>
      <c r="AJ5" s="18">
        <v>31</v>
      </c>
      <c r="AK5" s="18">
        <v>32</v>
      </c>
      <c r="AL5" s="18">
        <v>33</v>
      </c>
      <c r="AM5" s="18">
        <v>34</v>
      </c>
      <c r="AN5" s="18">
        <v>35</v>
      </c>
      <c r="AO5" s="18">
        <v>36</v>
      </c>
      <c r="AP5" s="18">
        <v>37</v>
      </c>
      <c r="AQ5" s="19">
        <v>38</v>
      </c>
      <c r="AR5" s="17">
        <v>39</v>
      </c>
      <c r="AS5" s="18">
        <v>40</v>
      </c>
      <c r="AT5" s="18">
        <v>41</v>
      </c>
      <c r="AU5" s="19">
        <v>42</v>
      </c>
      <c r="AY5" s="5"/>
      <c r="BA5" s="17">
        <v>1</v>
      </c>
      <c r="BB5" s="18">
        <v>2</v>
      </c>
      <c r="BC5" s="18">
        <v>3</v>
      </c>
      <c r="BD5" s="18">
        <v>4</v>
      </c>
      <c r="BE5" s="18">
        <v>5</v>
      </c>
      <c r="BF5" s="18">
        <v>6</v>
      </c>
      <c r="BG5" s="18">
        <v>7</v>
      </c>
      <c r="BH5" s="18">
        <v>8</v>
      </c>
      <c r="BI5" s="19">
        <v>9</v>
      </c>
      <c r="BJ5" s="17">
        <v>10</v>
      </c>
      <c r="BK5" s="18">
        <v>11</v>
      </c>
      <c r="BL5" s="18">
        <v>12</v>
      </c>
      <c r="BM5" s="19">
        <v>13</v>
      </c>
      <c r="BN5" s="17">
        <v>14</v>
      </c>
      <c r="BO5" s="18">
        <v>15</v>
      </c>
      <c r="BP5" s="18">
        <v>16</v>
      </c>
      <c r="BQ5" s="18">
        <v>17</v>
      </c>
      <c r="BR5" s="18">
        <v>18</v>
      </c>
      <c r="BS5" s="18">
        <v>19</v>
      </c>
      <c r="BT5" s="19">
        <v>20</v>
      </c>
      <c r="BU5" s="17">
        <v>21</v>
      </c>
      <c r="BV5" s="18">
        <v>22</v>
      </c>
      <c r="BW5" s="18">
        <v>23</v>
      </c>
      <c r="BX5" s="18">
        <v>24</v>
      </c>
      <c r="BY5" s="18">
        <v>25</v>
      </c>
      <c r="BZ5" s="19">
        <v>26</v>
      </c>
      <c r="CA5" s="17">
        <v>27</v>
      </c>
      <c r="CB5" s="18">
        <v>28</v>
      </c>
      <c r="CC5" s="18">
        <v>29</v>
      </c>
      <c r="CD5" s="18">
        <v>30</v>
      </c>
      <c r="CE5" s="18">
        <v>31</v>
      </c>
      <c r="CF5" s="18">
        <v>32</v>
      </c>
      <c r="CG5" s="18">
        <v>33</v>
      </c>
      <c r="CH5" s="18">
        <v>34</v>
      </c>
      <c r="CI5" s="18">
        <v>35</v>
      </c>
      <c r="CJ5" s="18">
        <v>36</v>
      </c>
      <c r="CK5" s="18">
        <v>37</v>
      </c>
      <c r="CL5" s="19">
        <v>38</v>
      </c>
      <c r="CM5" s="17">
        <v>39</v>
      </c>
      <c r="CN5" s="18">
        <v>40</v>
      </c>
      <c r="CO5" s="18">
        <v>41</v>
      </c>
      <c r="CP5" s="19">
        <v>42</v>
      </c>
    </row>
    <row r="6" spans="1:94" ht="14.45" x14ac:dyDescent="0.3">
      <c r="F6" s="3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1" t="s">
        <v>0</v>
      </c>
      <c r="M6" s="1" t="s">
        <v>0</v>
      </c>
      <c r="N6" s="2" t="s">
        <v>0</v>
      </c>
      <c r="O6" s="3" t="s">
        <v>1</v>
      </c>
      <c r="P6" s="1" t="s">
        <v>1</v>
      </c>
      <c r="Q6" s="1" t="s">
        <v>1</v>
      </c>
      <c r="R6" s="2" t="s">
        <v>1</v>
      </c>
      <c r="S6" s="3" t="s">
        <v>2</v>
      </c>
      <c r="T6" s="1" t="s">
        <v>2</v>
      </c>
      <c r="U6" s="1" t="s">
        <v>2</v>
      </c>
      <c r="V6" s="1" t="s">
        <v>2</v>
      </c>
      <c r="W6" s="1" t="s">
        <v>2</v>
      </c>
      <c r="X6" s="1" t="s">
        <v>2</v>
      </c>
      <c r="Y6" s="2" t="s">
        <v>2</v>
      </c>
      <c r="Z6" s="3" t="s">
        <v>3</v>
      </c>
      <c r="AA6" s="1" t="s">
        <v>3</v>
      </c>
      <c r="AB6" s="1" t="s">
        <v>3</v>
      </c>
      <c r="AC6" s="1" t="s">
        <v>3</v>
      </c>
      <c r="AD6" s="1" t="s">
        <v>3</v>
      </c>
      <c r="AE6" s="2" t="s">
        <v>3</v>
      </c>
      <c r="AF6" s="3" t="s">
        <v>4</v>
      </c>
      <c r="AG6" s="1" t="s">
        <v>4</v>
      </c>
      <c r="AH6" s="1" t="s">
        <v>4</v>
      </c>
      <c r="AI6" s="1" t="s">
        <v>4</v>
      </c>
      <c r="AJ6" s="1" t="s">
        <v>4</v>
      </c>
      <c r="AK6" s="1" t="s">
        <v>4</v>
      </c>
      <c r="AL6" s="1" t="s">
        <v>4</v>
      </c>
      <c r="AM6" s="1" t="s">
        <v>4</v>
      </c>
      <c r="AN6" s="1" t="s">
        <v>4</v>
      </c>
      <c r="AO6" s="1" t="s">
        <v>4</v>
      </c>
      <c r="AP6" s="1" t="s">
        <v>4</v>
      </c>
      <c r="AQ6" s="2" t="s">
        <v>4</v>
      </c>
      <c r="AR6" s="3" t="s">
        <v>5</v>
      </c>
      <c r="AS6" s="1" t="s">
        <v>5</v>
      </c>
      <c r="AT6" s="1" t="s">
        <v>5</v>
      </c>
      <c r="AU6" s="2" t="s">
        <v>5</v>
      </c>
      <c r="AY6" s="7">
        <f ca="1">SUMPRODUCT($F6:$AU6,$F$4:$AU$4)*$E$4</f>
        <v>0</v>
      </c>
    </row>
    <row r="7" spans="1:94" ht="14.45" x14ac:dyDescent="0.3">
      <c r="A7" t="str">
        <f t="shared" ref="A7:A47" si="2">RIGHT("0" &amp; DEC2HEX(B7),2)</f>
        <v>96</v>
      </c>
      <c r="B7">
        <f t="shared" ref="B7:B47" si="3">ROUND((C7-$A$49)/$A$51*255,0)</f>
        <v>150</v>
      </c>
      <c r="C7" s="20">
        <v>8.5060863999999992</v>
      </c>
      <c r="D7">
        <v>1</v>
      </c>
      <c r="E7" t="s">
        <v>0</v>
      </c>
      <c r="F7" s="13">
        <v>0</v>
      </c>
      <c r="G7" s="14">
        <v>1</v>
      </c>
      <c r="H7" s="14">
        <v>0</v>
      </c>
      <c r="I7" s="14">
        <v>1</v>
      </c>
      <c r="J7" s="14">
        <v>0</v>
      </c>
      <c r="K7" s="14">
        <v>0</v>
      </c>
      <c r="L7" s="14">
        <v>0</v>
      </c>
      <c r="M7" s="14">
        <v>0</v>
      </c>
      <c r="N7" s="15">
        <v>0</v>
      </c>
      <c r="O7" s="13">
        <v>0</v>
      </c>
      <c r="P7" s="14">
        <v>0</v>
      </c>
      <c r="Q7" s="14">
        <v>0</v>
      </c>
      <c r="R7" s="15">
        <v>0</v>
      </c>
      <c r="S7" s="13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5">
        <v>0</v>
      </c>
      <c r="Z7" s="13">
        <v>0</v>
      </c>
      <c r="AA7" s="14">
        <v>0</v>
      </c>
      <c r="AB7" s="14">
        <v>0</v>
      </c>
      <c r="AC7" s="14">
        <v>0</v>
      </c>
      <c r="AD7" s="14">
        <v>0</v>
      </c>
      <c r="AE7" s="15">
        <v>0</v>
      </c>
      <c r="AF7" s="13">
        <v>0</v>
      </c>
      <c r="AG7" s="14">
        <v>0</v>
      </c>
      <c r="AH7" s="14">
        <v>0</v>
      </c>
      <c r="AI7" s="14">
        <v>1</v>
      </c>
      <c r="AJ7" s="14">
        <v>0</v>
      </c>
      <c r="AK7" s="14">
        <v>0</v>
      </c>
      <c r="AL7" s="14">
        <v>0</v>
      </c>
      <c r="AM7" s="14">
        <v>0</v>
      </c>
      <c r="AN7" s="14">
        <v>0</v>
      </c>
      <c r="AO7" s="14">
        <v>0</v>
      </c>
      <c r="AP7" s="14">
        <v>0</v>
      </c>
      <c r="AQ7" s="15">
        <v>0</v>
      </c>
      <c r="AR7" s="13">
        <v>0</v>
      </c>
      <c r="AS7" s="14">
        <v>0</v>
      </c>
      <c r="AT7" s="14">
        <v>0</v>
      </c>
      <c r="AU7" s="15">
        <v>0</v>
      </c>
      <c r="AW7">
        <f>SUM(F7:AU7)</f>
        <v>3</v>
      </c>
      <c r="AY7" s="12">
        <f ca="1">MAX(BA7:CP7)</f>
        <v>1.686093278847487E-201</v>
      </c>
      <c r="BA7" s="11">
        <f t="shared" ref="BA7:BA14" ca="1" si="4">F7*F$4*F$1</f>
        <v>0</v>
      </c>
      <c r="BB7" s="11">
        <f t="shared" ref="BB7:BB14" ca="1" si="5">G7*G$4*G$1</f>
        <v>1.0116559673084922E-201</v>
      </c>
      <c r="BC7" s="11">
        <f t="shared" ref="BC7:BC14" ca="1" si="6">H7*H$4*H$1</f>
        <v>0</v>
      </c>
      <c r="BD7" s="11">
        <f t="shared" ref="BD7:BD14" ca="1" si="7">I7*I$4*I$1</f>
        <v>1.0116559673084922E-201</v>
      </c>
      <c r="BE7" s="11">
        <f t="shared" ref="BE7:BE14" ca="1" si="8">J7*J$4*J$1</f>
        <v>0</v>
      </c>
      <c r="BF7" s="11">
        <f t="shared" ref="BF7:BF14" ca="1" si="9">K7*K$4*K$1</f>
        <v>0</v>
      </c>
      <c r="BG7" s="11">
        <f t="shared" ref="BG7:BG14" ca="1" si="10">L7*L$4*L$1</f>
        <v>0</v>
      </c>
      <c r="BH7" s="11">
        <f t="shared" ref="BH7:BH14" ca="1" si="11">M7*M$4*M$1</f>
        <v>0</v>
      </c>
      <c r="BI7" s="11">
        <f t="shared" ref="BI7:BI14" ca="1" si="12">N7*N$4*N$1</f>
        <v>0</v>
      </c>
      <c r="BJ7" s="11">
        <f t="shared" ref="BJ7:BJ14" ca="1" si="13">O7*O$4*O$1</f>
        <v>0</v>
      </c>
      <c r="BK7" s="11">
        <f t="shared" ref="BK7:BK14" ca="1" si="14">P7*P$4*P$1</f>
        <v>0</v>
      </c>
      <c r="BL7" s="11">
        <f t="shared" ref="BL7:BL14" ca="1" si="15">Q7*Q$4*Q$1</f>
        <v>0</v>
      </c>
      <c r="BM7" s="11">
        <f t="shared" ref="BM7:BM14" ca="1" si="16">R7*R$4*R$1</f>
        <v>0</v>
      </c>
      <c r="BN7" s="11">
        <f t="shared" ref="BN7:BN14" ca="1" si="17">S7*S$4*S$1</f>
        <v>0</v>
      </c>
      <c r="BO7" s="11">
        <f t="shared" ref="BO7:BO14" ca="1" si="18">T7*T$4*T$1</f>
        <v>0</v>
      </c>
      <c r="BP7" s="11">
        <f t="shared" ref="BP7:BP14" ca="1" si="19">U7*U$4*U$1</f>
        <v>0</v>
      </c>
      <c r="BQ7" s="11">
        <f t="shared" ref="BQ7:BQ14" ca="1" si="20">V7*V$4*V$1</f>
        <v>0</v>
      </c>
      <c r="BR7" s="11">
        <f t="shared" ref="BR7:BR14" ca="1" si="21">W7*W$4*W$1</f>
        <v>0</v>
      </c>
      <c r="BS7" s="11">
        <f t="shared" ref="BS7:BS14" ca="1" si="22">X7*X$4*X$1</f>
        <v>0</v>
      </c>
      <c r="BT7" s="11">
        <f t="shared" ref="BT7:BT14" ca="1" si="23">Y7*Y$4*Y$1</f>
        <v>0</v>
      </c>
      <c r="BU7" s="11">
        <f t="shared" ref="BU7:BU14" ca="1" si="24">Z7*Z$4*Z$1</f>
        <v>0</v>
      </c>
      <c r="BV7" s="11">
        <f t="shared" ref="BV7:BV14" ca="1" si="25">AA7*AA$4*AA$1</f>
        <v>0</v>
      </c>
      <c r="BW7" s="11">
        <f t="shared" ref="BW7:BW14" ca="1" si="26">AB7*AB$4*AB$1</f>
        <v>0</v>
      </c>
      <c r="BX7" s="11">
        <f t="shared" ref="BX7:BX14" ca="1" si="27">AC7*AC$4*AC$1</f>
        <v>0</v>
      </c>
      <c r="BY7" s="11">
        <f t="shared" ref="BY7:BY14" ca="1" si="28">AD7*AD$4*AD$1</f>
        <v>0</v>
      </c>
      <c r="BZ7" s="11">
        <f t="shared" ref="BZ7:BZ14" ca="1" si="29">AE7*AE$4*AE$1</f>
        <v>0</v>
      </c>
      <c r="CA7" s="11">
        <f t="shared" ref="CA7:CA14" ca="1" si="30">AF7*AF$4*AF$1</f>
        <v>0</v>
      </c>
      <c r="CB7" s="11">
        <f t="shared" ref="CB7:CB14" ca="1" si="31">AG7*AG$4*AG$1</f>
        <v>0</v>
      </c>
      <c r="CC7" s="11">
        <f t="shared" ref="CC7:CC14" ca="1" si="32">AH7*AH$4*AH$1</f>
        <v>0</v>
      </c>
      <c r="CD7" s="11">
        <f t="shared" ref="CD7:CD14" ca="1" si="33">AI7*AI$4*AI$1</f>
        <v>1.0116559673084922E-201</v>
      </c>
      <c r="CE7" s="11">
        <f t="shared" ref="CE7:CE14" ca="1" si="34">AJ7*AJ$4*AJ$1</f>
        <v>0</v>
      </c>
      <c r="CF7" s="11">
        <f t="shared" ref="CF7:CF14" ca="1" si="35">AK7*AK$4*AK$1</f>
        <v>0</v>
      </c>
      <c r="CG7" s="11">
        <f t="shared" ref="CG7:CG14" ca="1" si="36">AL7*AL$4*AL$1</f>
        <v>0</v>
      </c>
      <c r="CH7" s="11">
        <f t="shared" ref="CH7:CH14" ca="1" si="37">AM7*AM$4*AM$1</f>
        <v>0</v>
      </c>
      <c r="CI7" s="11">
        <f t="shared" ref="CI7:CI14" ca="1" si="38">AN7*AN$4*AN$1</f>
        <v>0</v>
      </c>
      <c r="CJ7" s="11">
        <f t="shared" ref="CJ7:CJ14" ca="1" si="39">AO7*AO$4*AO$1</f>
        <v>0</v>
      </c>
      <c r="CK7" s="11">
        <f t="shared" ref="CK7:CK14" ca="1" si="40">AP7*AP$4*AP$1</f>
        <v>0</v>
      </c>
      <c r="CL7" s="11">
        <f t="shared" ref="CL7:CL14" ca="1" si="41">AQ7*AQ$4*AQ$1</f>
        <v>0</v>
      </c>
      <c r="CM7" s="11">
        <f t="shared" ref="CM7:CM14" ca="1" si="42">AR7*AR$4*AR$1</f>
        <v>0</v>
      </c>
      <c r="CN7" s="11">
        <f t="shared" ref="CN7:CN14" ca="1" si="43">AS7*AS$4*AS$1</f>
        <v>0</v>
      </c>
      <c r="CO7" s="11">
        <f t="shared" ref="CO7:CO14" ca="1" si="44">AT7*AT$4*AT$1</f>
        <v>0</v>
      </c>
      <c r="CP7" s="11">
        <f t="shared" ref="CP7:CP14" ca="1" si="45">AU7*AU$4*AU$1</f>
        <v>0</v>
      </c>
    </row>
    <row r="8" spans="1:94" ht="14.45" x14ac:dyDescent="0.3">
      <c r="A8" t="str">
        <f t="shared" si="2"/>
        <v>97</v>
      </c>
      <c r="B8">
        <f t="shared" si="3"/>
        <v>151</v>
      </c>
      <c r="C8" s="20">
        <v>8.5514905599999977</v>
      </c>
      <c r="D8">
        <v>2</v>
      </c>
      <c r="E8" t="s">
        <v>0</v>
      </c>
      <c r="F8" s="13">
        <v>1</v>
      </c>
      <c r="G8" s="14">
        <v>0</v>
      </c>
      <c r="H8" s="14">
        <v>1</v>
      </c>
      <c r="I8" s="14">
        <v>1</v>
      </c>
      <c r="J8" s="14">
        <v>1</v>
      </c>
      <c r="K8" s="14">
        <v>0</v>
      </c>
      <c r="L8" s="14">
        <v>0</v>
      </c>
      <c r="M8" s="14">
        <v>0</v>
      </c>
      <c r="N8" s="15">
        <v>0</v>
      </c>
      <c r="O8" s="13">
        <v>0</v>
      </c>
      <c r="P8" s="14">
        <v>0</v>
      </c>
      <c r="Q8" s="14">
        <v>0</v>
      </c>
      <c r="R8" s="15">
        <v>0</v>
      </c>
      <c r="S8" s="13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5">
        <v>0</v>
      </c>
      <c r="Z8" s="13">
        <v>0</v>
      </c>
      <c r="AA8" s="14">
        <v>0</v>
      </c>
      <c r="AB8" s="14">
        <v>0</v>
      </c>
      <c r="AC8" s="14">
        <v>0</v>
      </c>
      <c r="AD8" s="14">
        <v>0</v>
      </c>
      <c r="AE8" s="15">
        <v>0</v>
      </c>
      <c r="AF8" s="13">
        <v>0</v>
      </c>
      <c r="AG8" s="14">
        <v>0</v>
      </c>
      <c r="AH8" s="14">
        <v>0</v>
      </c>
      <c r="AI8" s="14">
        <v>0</v>
      </c>
      <c r="AJ8" s="14">
        <v>0</v>
      </c>
      <c r="AK8" s="14">
        <v>0</v>
      </c>
      <c r="AL8" s="14">
        <v>0</v>
      </c>
      <c r="AM8" s="14">
        <v>0</v>
      </c>
      <c r="AN8" s="14">
        <v>0</v>
      </c>
      <c r="AO8" s="14">
        <v>0</v>
      </c>
      <c r="AP8" s="14">
        <v>0</v>
      </c>
      <c r="AQ8" s="15">
        <v>0</v>
      </c>
      <c r="AR8" s="13">
        <v>0</v>
      </c>
      <c r="AS8" s="14">
        <v>0</v>
      </c>
      <c r="AT8" s="14">
        <v>0</v>
      </c>
      <c r="AU8" s="15">
        <v>0</v>
      </c>
      <c r="AW8">
        <f t="shared" ref="AW8:AW48" si="46">SUM(F8:AU8)</f>
        <v>4</v>
      </c>
      <c r="AY8" s="12">
        <f t="shared" ref="AY8:AY48" ca="1" si="47">MAX(BA8:CP8)</f>
        <v>1.686093278847487E-201</v>
      </c>
      <c r="BA8" s="11">
        <f t="shared" ca="1" si="4"/>
        <v>1.0116559673084922E-201</v>
      </c>
      <c r="BB8" s="11">
        <f t="shared" ca="1" si="5"/>
        <v>0</v>
      </c>
      <c r="BC8" s="11">
        <f t="shared" ca="1" si="6"/>
        <v>1.0116559673084922E-201</v>
      </c>
      <c r="BD8" s="11">
        <f t="shared" ca="1" si="7"/>
        <v>1.0116559673084922E-201</v>
      </c>
      <c r="BE8" s="11">
        <f t="shared" ca="1" si="8"/>
        <v>1.0116559673084922E-201</v>
      </c>
      <c r="BF8" s="11">
        <f t="shared" ca="1" si="9"/>
        <v>0</v>
      </c>
      <c r="BG8" s="11">
        <f t="shared" ca="1" si="10"/>
        <v>0</v>
      </c>
      <c r="BH8" s="11">
        <f t="shared" ca="1" si="11"/>
        <v>0</v>
      </c>
      <c r="BI8" s="11">
        <f t="shared" ca="1" si="12"/>
        <v>0</v>
      </c>
      <c r="BJ8" s="11">
        <f t="shared" ca="1" si="13"/>
        <v>0</v>
      </c>
      <c r="BK8" s="11">
        <f t="shared" ca="1" si="14"/>
        <v>0</v>
      </c>
      <c r="BL8" s="11">
        <f t="shared" ca="1" si="15"/>
        <v>0</v>
      </c>
      <c r="BM8" s="11">
        <f t="shared" ca="1" si="16"/>
        <v>0</v>
      </c>
      <c r="BN8" s="11">
        <f t="shared" ca="1" si="17"/>
        <v>0</v>
      </c>
      <c r="BO8" s="11">
        <f t="shared" ca="1" si="18"/>
        <v>0</v>
      </c>
      <c r="BP8" s="11">
        <f t="shared" ca="1" si="19"/>
        <v>0</v>
      </c>
      <c r="BQ8" s="11">
        <f t="shared" ca="1" si="20"/>
        <v>0</v>
      </c>
      <c r="BR8" s="11">
        <f t="shared" ca="1" si="21"/>
        <v>0</v>
      </c>
      <c r="BS8" s="11">
        <f t="shared" ca="1" si="22"/>
        <v>0</v>
      </c>
      <c r="BT8" s="11">
        <f t="shared" ca="1" si="23"/>
        <v>0</v>
      </c>
      <c r="BU8" s="11">
        <f t="shared" ca="1" si="24"/>
        <v>0</v>
      </c>
      <c r="BV8" s="11">
        <f t="shared" ca="1" si="25"/>
        <v>0</v>
      </c>
      <c r="BW8" s="11">
        <f t="shared" ca="1" si="26"/>
        <v>0</v>
      </c>
      <c r="BX8" s="11">
        <f t="shared" ca="1" si="27"/>
        <v>0</v>
      </c>
      <c r="BY8" s="11">
        <f t="shared" ca="1" si="28"/>
        <v>0</v>
      </c>
      <c r="BZ8" s="11">
        <f t="shared" ca="1" si="29"/>
        <v>0</v>
      </c>
      <c r="CA8" s="11">
        <f t="shared" ca="1" si="30"/>
        <v>0</v>
      </c>
      <c r="CB8" s="11">
        <f t="shared" ca="1" si="31"/>
        <v>0</v>
      </c>
      <c r="CC8" s="11">
        <f t="shared" ca="1" si="32"/>
        <v>0</v>
      </c>
      <c r="CD8" s="11">
        <f t="shared" ca="1" si="33"/>
        <v>0</v>
      </c>
      <c r="CE8" s="11">
        <f t="shared" ca="1" si="34"/>
        <v>0</v>
      </c>
      <c r="CF8" s="11">
        <f t="shared" ca="1" si="35"/>
        <v>0</v>
      </c>
      <c r="CG8" s="11">
        <f t="shared" ca="1" si="36"/>
        <v>0</v>
      </c>
      <c r="CH8" s="11">
        <f t="shared" ca="1" si="37"/>
        <v>0</v>
      </c>
      <c r="CI8" s="11">
        <f t="shared" ca="1" si="38"/>
        <v>0</v>
      </c>
      <c r="CJ8" s="11">
        <f t="shared" ca="1" si="39"/>
        <v>0</v>
      </c>
      <c r="CK8" s="11">
        <f t="shared" ca="1" si="40"/>
        <v>0</v>
      </c>
      <c r="CL8" s="11">
        <f t="shared" ca="1" si="41"/>
        <v>0</v>
      </c>
      <c r="CM8" s="11">
        <f t="shared" ca="1" si="42"/>
        <v>0</v>
      </c>
      <c r="CN8" s="11">
        <f t="shared" ca="1" si="43"/>
        <v>0</v>
      </c>
      <c r="CO8" s="11">
        <f t="shared" ca="1" si="44"/>
        <v>0</v>
      </c>
      <c r="CP8" s="11">
        <f t="shared" ca="1" si="45"/>
        <v>0</v>
      </c>
    </row>
    <row r="9" spans="1:94" ht="14.45" x14ac:dyDescent="0.3">
      <c r="A9" t="str">
        <f t="shared" si="2"/>
        <v>A1</v>
      </c>
      <c r="B9">
        <f t="shared" si="3"/>
        <v>161</v>
      </c>
      <c r="C9" s="20">
        <v>8.8163676159999973</v>
      </c>
      <c r="D9">
        <v>3</v>
      </c>
      <c r="E9" t="s">
        <v>0</v>
      </c>
      <c r="F9" s="13">
        <v>0</v>
      </c>
      <c r="G9" s="14">
        <v>1</v>
      </c>
      <c r="H9" s="14">
        <v>0</v>
      </c>
      <c r="I9" s="14">
        <v>0</v>
      </c>
      <c r="J9" s="14">
        <v>1</v>
      </c>
      <c r="K9" s="14">
        <v>1</v>
      </c>
      <c r="L9" s="14">
        <v>0</v>
      </c>
      <c r="M9" s="14">
        <v>0</v>
      </c>
      <c r="N9" s="15">
        <v>0</v>
      </c>
      <c r="O9" s="13">
        <v>0</v>
      </c>
      <c r="P9" s="14">
        <v>0</v>
      </c>
      <c r="Q9" s="14">
        <v>0</v>
      </c>
      <c r="R9" s="15">
        <v>0</v>
      </c>
      <c r="S9" s="13">
        <v>1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5">
        <v>0</v>
      </c>
      <c r="Z9" s="13">
        <v>0</v>
      </c>
      <c r="AA9" s="14">
        <v>0</v>
      </c>
      <c r="AB9" s="14">
        <v>0</v>
      </c>
      <c r="AC9" s="14">
        <v>0</v>
      </c>
      <c r="AD9" s="14">
        <v>0</v>
      </c>
      <c r="AE9" s="15">
        <v>0</v>
      </c>
      <c r="AF9" s="13">
        <v>0</v>
      </c>
      <c r="AG9" s="14">
        <v>0</v>
      </c>
      <c r="AH9" s="14">
        <v>0</v>
      </c>
      <c r="AI9" s="14">
        <v>0</v>
      </c>
      <c r="AJ9" s="14">
        <v>0</v>
      </c>
      <c r="AK9" s="14">
        <v>0</v>
      </c>
      <c r="AL9" s="14">
        <v>0</v>
      </c>
      <c r="AM9" s="14">
        <v>0</v>
      </c>
      <c r="AN9" s="14">
        <v>0</v>
      </c>
      <c r="AO9" s="14">
        <v>0</v>
      </c>
      <c r="AP9" s="14">
        <v>0</v>
      </c>
      <c r="AQ9" s="15">
        <v>0</v>
      </c>
      <c r="AR9" s="13">
        <v>0</v>
      </c>
      <c r="AS9" s="14">
        <v>0</v>
      </c>
      <c r="AT9" s="14">
        <v>0</v>
      </c>
      <c r="AU9" s="15">
        <v>0</v>
      </c>
      <c r="AW9">
        <f t="shared" si="46"/>
        <v>4</v>
      </c>
      <c r="AY9" s="12">
        <f t="shared" ca="1" si="47"/>
        <v>1.686093278847487E-201</v>
      </c>
      <c r="BA9" s="11">
        <f t="shared" ca="1" si="4"/>
        <v>0</v>
      </c>
      <c r="BB9" s="11">
        <f t="shared" ca="1" si="5"/>
        <v>1.0116559673084922E-201</v>
      </c>
      <c r="BC9" s="11">
        <f t="shared" ca="1" si="6"/>
        <v>0</v>
      </c>
      <c r="BD9" s="11">
        <f t="shared" ca="1" si="7"/>
        <v>0</v>
      </c>
      <c r="BE9" s="11">
        <f t="shared" ca="1" si="8"/>
        <v>1.0116559673084922E-201</v>
      </c>
      <c r="BF9" s="11">
        <f t="shared" ca="1" si="9"/>
        <v>1.0116559673084922E-201</v>
      </c>
      <c r="BG9" s="11">
        <f t="shared" ca="1" si="10"/>
        <v>0</v>
      </c>
      <c r="BH9" s="11">
        <f t="shared" ca="1" si="11"/>
        <v>0</v>
      </c>
      <c r="BI9" s="11">
        <f t="shared" ca="1" si="12"/>
        <v>0</v>
      </c>
      <c r="BJ9" s="11">
        <f t="shared" ca="1" si="13"/>
        <v>0</v>
      </c>
      <c r="BK9" s="11">
        <f t="shared" ca="1" si="14"/>
        <v>0</v>
      </c>
      <c r="BL9" s="11">
        <f t="shared" ca="1" si="15"/>
        <v>0</v>
      </c>
      <c r="BM9" s="11">
        <f t="shared" ca="1" si="16"/>
        <v>0</v>
      </c>
      <c r="BN9" s="11">
        <f t="shared" ca="1" si="17"/>
        <v>1.0116559673084922E-201</v>
      </c>
      <c r="BO9" s="11">
        <f t="shared" ca="1" si="18"/>
        <v>0</v>
      </c>
      <c r="BP9" s="11">
        <f t="shared" ca="1" si="19"/>
        <v>0</v>
      </c>
      <c r="BQ9" s="11">
        <f t="shared" ca="1" si="20"/>
        <v>0</v>
      </c>
      <c r="BR9" s="11">
        <f t="shared" ca="1" si="21"/>
        <v>0</v>
      </c>
      <c r="BS9" s="11">
        <f t="shared" ca="1" si="22"/>
        <v>0</v>
      </c>
      <c r="BT9" s="11">
        <f t="shared" ca="1" si="23"/>
        <v>0</v>
      </c>
      <c r="BU9" s="11">
        <f t="shared" ca="1" si="24"/>
        <v>0</v>
      </c>
      <c r="BV9" s="11">
        <f t="shared" ca="1" si="25"/>
        <v>0</v>
      </c>
      <c r="BW9" s="11">
        <f t="shared" ca="1" si="26"/>
        <v>0</v>
      </c>
      <c r="BX9" s="11">
        <f t="shared" ca="1" si="27"/>
        <v>0</v>
      </c>
      <c r="BY9" s="11">
        <f t="shared" ca="1" si="28"/>
        <v>0</v>
      </c>
      <c r="BZ9" s="11">
        <f t="shared" ca="1" si="29"/>
        <v>0</v>
      </c>
      <c r="CA9" s="11">
        <f t="shared" ca="1" si="30"/>
        <v>0</v>
      </c>
      <c r="CB9" s="11">
        <f t="shared" ca="1" si="31"/>
        <v>0</v>
      </c>
      <c r="CC9" s="11">
        <f t="shared" ca="1" si="32"/>
        <v>0</v>
      </c>
      <c r="CD9" s="11">
        <f t="shared" ca="1" si="33"/>
        <v>0</v>
      </c>
      <c r="CE9" s="11">
        <f t="shared" ca="1" si="34"/>
        <v>0</v>
      </c>
      <c r="CF9" s="11">
        <f t="shared" ca="1" si="35"/>
        <v>0</v>
      </c>
      <c r="CG9" s="11">
        <f t="shared" ca="1" si="36"/>
        <v>0</v>
      </c>
      <c r="CH9" s="11">
        <f t="shared" ca="1" si="37"/>
        <v>0</v>
      </c>
      <c r="CI9" s="11">
        <f t="shared" ca="1" si="38"/>
        <v>0</v>
      </c>
      <c r="CJ9" s="11">
        <f t="shared" ca="1" si="39"/>
        <v>0</v>
      </c>
      <c r="CK9" s="11">
        <f t="shared" ca="1" si="40"/>
        <v>0</v>
      </c>
      <c r="CL9" s="11">
        <f t="shared" ca="1" si="41"/>
        <v>0</v>
      </c>
      <c r="CM9" s="11">
        <f t="shared" ca="1" si="42"/>
        <v>0</v>
      </c>
      <c r="CN9" s="11">
        <f t="shared" ca="1" si="43"/>
        <v>0</v>
      </c>
      <c r="CO9" s="11">
        <f t="shared" ca="1" si="44"/>
        <v>0</v>
      </c>
      <c r="CP9" s="11">
        <f t="shared" ca="1" si="45"/>
        <v>0</v>
      </c>
    </row>
    <row r="10" spans="1:94" ht="14.45" x14ac:dyDescent="0.3">
      <c r="A10" t="str">
        <f t="shared" si="2"/>
        <v>92</v>
      </c>
      <c r="B10">
        <f t="shared" si="3"/>
        <v>146</v>
      </c>
      <c r="C10" s="20">
        <v>8.3821465599999989</v>
      </c>
      <c r="D10">
        <v>4</v>
      </c>
      <c r="E10" t="s">
        <v>0</v>
      </c>
      <c r="F10" s="13">
        <v>1</v>
      </c>
      <c r="G10" s="14">
        <v>1</v>
      </c>
      <c r="H10" s="14">
        <v>0</v>
      </c>
      <c r="I10" s="14">
        <v>0</v>
      </c>
      <c r="J10" s="14">
        <v>1</v>
      </c>
      <c r="K10" s="14">
        <v>0</v>
      </c>
      <c r="L10" s="14">
        <v>1</v>
      </c>
      <c r="M10" s="14">
        <v>0</v>
      </c>
      <c r="N10" s="15">
        <v>0</v>
      </c>
      <c r="O10" s="13">
        <v>0</v>
      </c>
      <c r="P10" s="14">
        <v>0</v>
      </c>
      <c r="Q10" s="14">
        <v>0</v>
      </c>
      <c r="R10" s="15">
        <v>0</v>
      </c>
      <c r="S10" s="13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5">
        <v>0</v>
      </c>
      <c r="Z10" s="13">
        <v>0</v>
      </c>
      <c r="AA10" s="14">
        <v>0</v>
      </c>
      <c r="AB10" s="14">
        <v>0</v>
      </c>
      <c r="AC10" s="14">
        <v>0</v>
      </c>
      <c r="AD10" s="14">
        <v>0</v>
      </c>
      <c r="AE10" s="15">
        <v>0</v>
      </c>
      <c r="AF10" s="13">
        <v>0</v>
      </c>
      <c r="AG10" s="14">
        <v>0</v>
      </c>
      <c r="AH10" s="14">
        <v>0</v>
      </c>
      <c r="AI10" s="14">
        <v>0</v>
      </c>
      <c r="AJ10" s="14">
        <v>0</v>
      </c>
      <c r="AK10" s="14">
        <v>0</v>
      </c>
      <c r="AL10" s="14">
        <v>0</v>
      </c>
      <c r="AM10" s="14">
        <v>0</v>
      </c>
      <c r="AN10" s="14">
        <v>0</v>
      </c>
      <c r="AO10" s="14">
        <v>0</v>
      </c>
      <c r="AP10" s="14">
        <v>0</v>
      </c>
      <c r="AQ10" s="15">
        <v>0</v>
      </c>
      <c r="AR10" s="13">
        <v>0</v>
      </c>
      <c r="AS10" s="14">
        <v>0</v>
      </c>
      <c r="AT10" s="14">
        <v>0</v>
      </c>
      <c r="AU10" s="15">
        <v>0</v>
      </c>
      <c r="AW10">
        <f t="shared" si="46"/>
        <v>4</v>
      </c>
      <c r="AY10" s="12">
        <f t="shared" ca="1" si="47"/>
        <v>1.686093278847487E-201</v>
      </c>
      <c r="BA10" s="11">
        <f t="shared" ca="1" si="4"/>
        <v>1.0116559673084922E-201</v>
      </c>
      <c r="BB10" s="11">
        <f t="shared" ca="1" si="5"/>
        <v>1.0116559673084922E-201</v>
      </c>
      <c r="BC10" s="11">
        <f t="shared" ca="1" si="6"/>
        <v>0</v>
      </c>
      <c r="BD10" s="11">
        <f t="shared" ca="1" si="7"/>
        <v>0</v>
      </c>
      <c r="BE10" s="11">
        <f t="shared" ca="1" si="8"/>
        <v>1.0116559673084922E-201</v>
      </c>
      <c r="BF10" s="11">
        <f t="shared" ca="1" si="9"/>
        <v>0</v>
      </c>
      <c r="BG10" s="11">
        <f t="shared" ca="1" si="10"/>
        <v>1.0116559673084922E-201</v>
      </c>
      <c r="BH10" s="11">
        <f t="shared" ca="1" si="11"/>
        <v>0</v>
      </c>
      <c r="BI10" s="11">
        <f t="shared" ca="1" si="12"/>
        <v>0</v>
      </c>
      <c r="BJ10" s="11">
        <f t="shared" ca="1" si="13"/>
        <v>0</v>
      </c>
      <c r="BK10" s="11">
        <f t="shared" ca="1" si="14"/>
        <v>0</v>
      </c>
      <c r="BL10" s="11">
        <f t="shared" ca="1" si="15"/>
        <v>0</v>
      </c>
      <c r="BM10" s="11">
        <f t="shared" ca="1" si="16"/>
        <v>0</v>
      </c>
      <c r="BN10" s="11">
        <f t="shared" ca="1" si="17"/>
        <v>0</v>
      </c>
      <c r="BO10" s="11">
        <f t="shared" ca="1" si="18"/>
        <v>0</v>
      </c>
      <c r="BP10" s="11">
        <f t="shared" ca="1" si="19"/>
        <v>0</v>
      </c>
      <c r="BQ10" s="11">
        <f t="shared" ca="1" si="20"/>
        <v>0</v>
      </c>
      <c r="BR10" s="11">
        <f t="shared" ca="1" si="21"/>
        <v>0</v>
      </c>
      <c r="BS10" s="11">
        <f t="shared" ca="1" si="22"/>
        <v>0</v>
      </c>
      <c r="BT10" s="11">
        <f t="shared" ca="1" si="23"/>
        <v>0</v>
      </c>
      <c r="BU10" s="11">
        <f t="shared" ca="1" si="24"/>
        <v>0</v>
      </c>
      <c r="BV10" s="11">
        <f t="shared" ca="1" si="25"/>
        <v>0</v>
      </c>
      <c r="BW10" s="11">
        <f t="shared" ca="1" si="26"/>
        <v>0</v>
      </c>
      <c r="BX10" s="11">
        <f t="shared" ca="1" si="27"/>
        <v>0</v>
      </c>
      <c r="BY10" s="11">
        <f t="shared" ca="1" si="28"/>
        <v>0</v>
      </c>
      <c r="BZ10" s="11">
        <f t="shared" ca="1" si="29"/>
        <v>0</v>
      </c>
      <c r="CA10" s="11">
        <f t="shared" ca="1" si="30"/>
        <v>0</v>
      </c>
      <c r="CB10" s="11">
        <f t="shared" ca="1" si="31"/>
        <v>0</v>
      </c>
      <c r="CC10" s="11">
        <f t="shared" ca="1" si="32"/>
        <v>0</v>
      </c>
      <c r="CD10" s="11">
        <f t="shared" ca="1" si="33"/>
        <v>0</v>
      </c>
      <c r="CE10" s="11">
        <f t="shared" ca="1" si="34"/>
        <v>0</v>
      </c>
      <c r="CF10" s="11">
        <f t="shared" ca="1" si="35"/>
        <v>0</v>
      </c>
      <c r="CG10" s="11">
        <f t="shared" ca="1" si="36"/>
        <v>0</v>
      </c>
      <c r="CH10" s="11">
        <f t="shared" ca="1" si="37"/>
        <v>0</v>
      </c>
      <c r="CI10" s="11">
        <f t="shared" ca="1" si="38"/>
        <v>0</v>
      </c>
      <c r="CJ10" s="11">
        <f t="shared" ca="1" si="39"/>
        <v>0</v>
      </c>
      <c r="CK10" s="11">
        <f t="shared" ca="1" si="40"/>
        <v>0</v>
      </c>
      <c r="CL10" s="11">
        <f t="shared" ca="1" si="41"/>
        <v>0</v>
      </c>
      <c r="CM10" s="11">
        <f t="shared" ca="1" si="42"/>
        <v>0</v>
      </c>
      <c r="CN10" s="11">
        <f t="shared" ca="1" si="43"/>
        <v>0</v>
      </c>
      <c r="CO10" s="11">
        <f t="shared" ca="1" si="44"/>
        <v>0</v>
      </c>
      <c r="CP10" s="11">
        <f t="shared" ca="1" si="45"/>
        <v>0</v>
      </c>
    </row>
    <row r="11" spans="1:94" ht="14.45" x14ac:dyDescent="0.3">
      <c r="A11" t="str">
        <f t="shared" si="2"/>
        <v>9C</v>
      </c>
      <c r="B11">
        <f t="shared" si="3"/>
        <v>156</v>
      </c>
      <c r="C11" s="20">
        <v>8.6934108159999983</v>
      </c>
      <c r="D11">
        <v>5</v>
      </c>
      <c r="E11" t="s">
        <v>0</v>
      </c>
      <c r="F11" s="13">
        <v>0</v>
      </c>
      <c r="G11" s="14">
        <v>1</v>
      </c>
      <c r="H11" s="14">
        <v>1</v>
      </c>
      <c r="I11" s="14">
        <v>1</v>
      </c>
      <c r="J11" s="14">
        <v>0</v>
      </c>
      <c r="K11" s="14">
        <v>1</v>
      </c>
      <c r="L11" s="14">
        <v>1</v>
      </c>
      <c r="M11" s="14">
        <v>1</v>
      </c>
      <c r="N11" s="15">
        <v>0</v>
      </c>
      <c r="O11" s="13">
        <v>0</v>
      </c>
      <c r="P11" s="14">
        <v>0</v>
      </c>
      <c r="Q11" s="14">
        <v>0</v>
      </c>
      <c r="R11" s="15">
        <v>0</v>
      </c>
      <c r="S11" s="13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5">
        <v>0</v>
      </c>
      <c r="Z11" s="13">
        <v>0</v>
      </c>
      <c r="AA11" s="14">
        <v>0</v>
      </c>
      <c r="AB11" s="14">
        <v>0</v>
      </c>
      <c r="AC11" s="14">
        <v>0</v>
      </c>
      <c r="AD11" s="14">
        <v>0</v>
      </c>
      <c r="AE11" s="15">
        <v>0</v>
      </c>
      <c r="AF11" s="13">
        <v>0</v>
      </c>
      <c r="AG11" s="14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4">
        <v>0</v>
      </c>
      <c r="AP11" s="14">
        <v>0</v>
      </c>
      <c r="AQ11" s="15">
        <v>0</v>
      </c>
      <c r="AR11" s="13">
        <v>0</v>
      </c>
      <c r="AS11" s="14">
        <v>0</v>
      </c>
      <c r="AT11" s="14">
        <v>0</v>
      </c>
      <c r="AU11" s="15">
        <v>0</v>
      </c>
      <c r="AW11">
        <f t="shared" si="46"/>
        <v>6</v>
      </c>
      <c r="AY11" s="12">
        <f t="shared" ca="1" si="47"/>
        <v>1.686093278847487E-201</v>
      </c>
      <c r="BA11" s="11">
        <f t="shared" ca="1" si="4"/>
        <v>0</v>
      </c>
      <c r="BB11" s="11">
        <f t="shared" ca="1" si="5"/>
        <v>1.0116559673084922E-201</v>
      </c>
      <c r="BC11" s="11">
        <f t="shared" ca="1" si="6"/>
        <v>1.0116559673084922E-201</v>
      </c>
      <c r="BD11" s="11">
        <f t="shared" ca="1" si="7"/>
        <v>1.0116559673084922E-201</v>
      </c>
      <c r="BE11" s="11">
        <f t="shared" ca="1" si="8"/>
        <v>0</v>
      </c>
      <c r="BF11" s="11">
        <f t="shared" ca="1" si="9"/>
        <v>1.0116559673084922E-201</v>
      </c>
      <c r="BG11" s="11">
        <f t="shared" ca="1" si="10"/>
        <v>1.0116559673084922E-201</v>
      </c>
      <c r="BH11" s="11">
        <f t="shared" ca="1" si="11"/>
        <v>1.0116559673084922E-201</v>
      </c>
      <c r="BI11" s="11">
        <f t="shared" ca="1" si="12"/>
        <v>0</v>
      </c>
      <c r="BJ11" s="11">
        <f t="shared" ca="1" si="13"/>
        <v>0</v>
      </c>
      <c r="BK11" s="11">
        <f t="shared" ca="1" si="14"/>
        <v>0</v>
      </c>
      <c r="BL11" s="11">
        <f t="shared" ca="1" si="15"/>
        <v>0</v>
      </c>
      <c r="BM11" s="11">
        <f t="shared" ca="1" si="16"/>
        <v>0</v>
      </c>
      <c r="BN11" s="11">
        <f t="shared" ca="1" si="17"/>
        <v>0</v>
      </c>
      <c r="BO11" s="11">
        <f t="shared" ca="1" si="18"/>
        <v>0</v>
      </c>
      <c r="BP11" s="11">
        <f t="shared" ca="1" si="19"/>
        <v>0</v>
      </c>
      <c r="BQ11" s="11">
        <f t="shared" ca="1" si="20"/>
        <v>0</v>
      </c>
      <c r="BR11" s="11">
        <f t="shared" ca="1" si="21"/>
        <v>0</v>
      </c>
      <c r="BS11" s="11">
        <f t="shared" ca="1" si="22"/>
        <v>0</v>
      </c>
      <c r="BT11" s="11">
        <f t="shared" ca="1" si="23"/>
        <v>0</v>
      </c>
      <c r="BU11" s="11">
        <f t="shared" ca="1" si="24"/>
        <v>0</v>
      </c>
      <c r="BV11" s="11">
        <f t="shared" ca="1" si="25"/>
        <v>0</v>
      </c>
      <c r="BW11" s="11">
        <f t="shared" ca="1" si="26"/>
        <v>0</v>
      </c>
      <c r="BX11" s="11">
        <f t="shared" ca="1" si="27"/>
        <v>0</v>
      </c>
      <c r="BY11" s="11">
        <f t="shared" ca="1" si="28"/>
        <v>0</v>
      </c>
      <c r="BZ11" s="11">
        <f t="shared" ca="1" si="29"/>
        <v>0</v>
      </c>
      <c r="CA11" s="11">
        <f t="shared" ca="1" si="30"/>
        <v>0</v>
      </c>
      <c r="CB11" s="11">
        <f t="shared" ca="1" si="31"/>
        <v>0</v>
      </c>
      <c r="CC11" s="11">
        <f t="shared" ca="1" si="32"/>
        <v>0</v>
      </c>
      <c r="CD11" s="11">
        <f t="shared" ca="1" si="33"/>
        <v>0</v>
      </c>
      <c r="CE11" s="11">
        <f t="shared" ca="1" si="34"/>
        <v>0</v>
      </c>
      <c r="CF11" s="11">
        <f t="shared" ca="1" si="35"/>
        <v>0</v>
      </c>
      <c r="CG11" s="11">
        <f t="shared" ca="1" si="36"/>
        <v>0</v>
      </c>
      <c r="CH11" s="11">
        <f t="shared" ca="1" si="37"/>
        <v>0</v>
      </c>
      <c r="CI11" s="11">
        <f t="shared" ca="1" si="38"/>
        <v>0</v>
      </c>
      <c r="CJ11" s="11">
        <f t="shared" ca="1" si="39"/>
        <v>0</v>
      </c>
      <c r="CK11" s="11">
        <f t="shared" ca="1" si="40"/>
        <v>0</v>
      </c>
      <c r="CL11" s="11">
        <f t="shared" ca="1" si="41"/>
        <v>0</v>
      </c>
      <c r="CM11" s="11">
        <f t="shared" ca="1" si="42"/>
        <v>0</v>
      </c>
      <c r="CN11" s="11">
        <f t="shared" ca="1" si="43"/>
        <v>0</v>
      </c>
      <c r="CO11" s="11">
        <f t="shared" ca="1" si="44"/>
        <v>0</v>
      </c>
      <c r="CP11" s="11">
        <f t="shared" ca="1" si="45"/>
        <v>0</v>
      </c>
    </row>
    <row r="12" spans="1:94" ht="14.45" x14ac:dyDescent="0.3">
      <c r="A12" t="str">
        <f t="shared" si="2"/>
        <v>70</v>
      </c>
      <c r="B12">
        <f t="shared" si="3"/>
        <v>112</v>
      </c>
      <c r="C12" s="20">
        <v>7.4261149695999951</v>
      </c>
      <c r="D12">
        <v>6</v>
      </c>
      <c r="E12" t="s">
        <v>0</v>
      </c>
      <c r="F12" s="13">
        <v>0</v>
      </c>
      <c r="G12" s="14">
        <v>0</v>
      </c>
      <c r="H12" s="14">
        <v>1</v>
      </c>
      <c r="I12" s="14">
        <v>0</v>
      </c>
      <c r="J12" s="14">
        <v>1</v>
      </c>
      <c r="K12" s="14">
        <v>0</v>
      </c>
      <c r="L12" s="14">
        <v>0</v>
      </c>
      <c r="M12" s="14">
        <v>1</v>
      </c>
      <c r="N12" s="15">
        <v>0</v>
      </c>
      <c r="O12" s="13">
        <v>0</v>
      </c>
      <c r="P12" s="14">
        <v>0</v>
      </c>
      <c r="Q12" s="14">
        <v>0</v>
      </c>
      <c r="R12" s="15">
        <v>0</v>
      </c>
      <c r="S12" s="13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5">
        <v>0</v>
      </c>
      <c r="Z12" s="13">
        <v>0</v>
      </c>
      <c r="AA12" s="14">
        <v>0</v>
      </c>
      <c r="AB12" s="14">
        <v>0</v>
      </c>
      <c r="AC12" s="14">
        <v>0</v>
      </c>
      <c r="AD12" s="14">
        <v>0</v>
      </c>
      <c r="AE12" s="15">
        <v>0</v>
      </c>
      <c r="AF12" s="13">
        <v>0</v>
      </c>
      <c r="AG12" s="14">
        <v>0</v>
      </c>
      <c r="AH12" s="14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0</v>
      </c>
      <c r="AN12" s="14">
        <v>0</v>
      </c>
      <c r="AO12" s="14">
        <v>0</v>
      </c>
      <c r="AP12" s="14">
        <v>0</v>
      </c>
      <c r="AQ12" s="15">
        <v>0</v>
      </c>
      <c r="AR12" s="13">
        <v>0</v>
      </c>
      <c r="AS12" s="14">
        <v>0</v>
      </c>
      <c r="AT12" s="14">
        <v>0</v>
      </c>
      <c r="AU12" s="15">
        <v>0</v>
      </c>
      <c r="AW12">
        <f t="shared" si="46"/>
        <v>3</v>
      </c>
      <c r="AY12" s="12">
        <f t="shared" ca="1" si="47"/>
        <v>1.686093278847487E-201</v>
      </c>
      <c r="BA12" s="11">
        <f t="shared" ca="1" si="4"/>
        <v>0</v>
      </c>
      <c r="BB12" s="11">
        <f t="shared" ca="1" si="5"/>
        <v>0</v>
      </c>
      <c r="BC12" s="11">
        <f t="shared" ca="1" si="6"/>
        <v>1.0116559673084922E-201</v>
      </c>
      <c r="BD12" s="11">
        <f t="shared" ca="1" si="7"/>
        <v>0</v>
      </c>
      <c r="BE12" s="11">
        <f t="shared" ca="1" si="8"/>
        <v>1.0116559673084922E-201</v>
      </c>
      <c r="BF12" s="11">
        <f t="shared" ca="1" si="9"/>
        <v>0</v>
      </c>
      <c r="BG12" s="11">
        <f t="shared" ca="1" si="10"/>
        <v>0</v>
      </c>
      <c r="BH12" s="11">
        <f t="shared" ca="1" si="11"/>
        <v>1.0116559673084922E-201</v>
      </c>
      <c r="BI12" s="11">
        <f t="shared" ca="1" si="12"/>
        <v>0</v>
      </c>
      <c r="BJ12" s="11">
        <f t="shared" ca="1" si="13"/>
        <v>0</v>
      </c>
      <c r="BK12" s="11">
        <f t="shared" ca="1" si="14"/>
        <v>0</v>
      </c>
      <c r="BL12" s="11">
        <f t="shared" ca="1" si="15"/>
        <v>0</v>
      </c>
      <c r="BM12" s="11">
        <f t="shared" ca="1" si="16"/>
        <v>0</v>
      </c>
      <c r="BN12" s="11">
        <f t="shared" ca="1" si="17"/>
        <v>0</v>
      </c>
      <c r="BO12" s="11">
        <f t="shared" ca="1" si="18"/>
        <v>0</v>
      </c>
      <c r="BP12" s="11">
        <f t="shared" ca="1" si="19"/>
        <v>0</v>
      </c>
      <c r="BQ12" s="11">
        <f t="shared" ca="1" si="20"/>
        <v>0</v>
      </c>
      <c r="BR12" s="11">
        <f t="shared" ca="1" si="21"/>
        <v>0</v>
      </c>
      <c r="BS12" s="11">
        <f t="shared" ca="1" si="22"/>
        <v>0</v>
      </c>
      <c r="BT12" s="11">
        <f t="shared" ca="1" si="23"/>
        <v>0</v>
      </c>
      <c r="BU12" s="11">
        <f t="shared" ca="1" si="24"/>
        <v>0</v>
      </c>
      <c r="BV12" s="11">
        <f t="shared" ca="1" si="25"/>
        <v>0</v>
      </c>
      <c r="BW12" s="11">
        <f t="shared" ca="1" si="26"/>
        <v>0</v>
      </c>
      <c r="BX12" s="11">
        <f t="shared" ca="1" si="27"/>
        <v>0</v>
      </c>
      <c r="BY12" s="11">
        <f t="shared" ca="1" si="28"/>
        <v>0</v>
      </c>
      <c r="BZ12" s="11">
        <f t="shared" ca="1" si="29"/>
        <v>0</v>
      </c>
      <c r="CA12" s="11">
        <f t="shared" ca="1" si="30"/>
        <v>0</v>
      </c>
      <c r="CB12" s="11">
        <f t="shared" ca="1" si="31"/>
        <v>0</v>
      </c>
      <c r="CC12" s="11">
        <f t="shared" ca="1" si="32"/>
        <v>0</v>
      </c>
      <c r="CD12" s="11">
        <f t="shared" ca="1" si="33"/>
        <v>0</v>
      </c>
      <c r="CE12" s="11">
        <f t="shared" ca="1" si="34"/>
        <v>0</v>
      </c>
      <c r="CF12" s="11">
        <f t="shared" ca="1" si="35"/>
        <v>0</v>
      </c>
      <c r="CG12" s="11">
        <f t="shared" ca="1" si="36"/>
        <v>0</v>
      </c>
      <c r="CH12" s="11">
        <f t="shared" ca="1" si="37"/>
        <v>0</v>
      </c>
      <c r="CI12" s="11">
        <f t="shared" ca="1" si="38"/>
        <v>0</v>
      </c>
      <c r="CJ12" s="11">
        <f t="shared" ca="1" si="39"/>
        <v>0</v>
      </c>
      <c r="CK12" s="11">
        <f t="shared" ca="1" si="40"/>
        <v>0</v>
      </c>
      <c r="CL12" s="11">
        <f t="shared" ca="1" si="41"/>
        <v>0</v>
      </c>
      <c r="CM12" s="11">
        <f t="shared" ca="1" si="42"/>
        <v>0</v>
      </c>
      <c r="CN12" s="11">
        <f t="shared" ca="1" si="43"/>
        <v>0</v>
      </c>
      <c r="CO12" s="11">
        <f t="shared" ca="1" si="44"/>
        <v>0</v>
      </c>
      <c r="CP12" s="11">
        <f t="shared" ca="1" si="45"/>
        <v>0</v>
      </c>
    </row>
    <row r="13" spans="1:94" ht="14.45" x14ac:dyDescent="0.3">
      <c r="A13" t="str">
        <f t="shared" si="2"/>
        <v>8B</v>
      </c>
      <c r="B13">
        <f t="shared" si="3"/>
        <v>139</v>
      </c>
      <c r="C13" s="20">
        <v>8.1988956159999962</v>
      </c>
      <c r="D13">
        <v>7</v>
      </c>
      <c r="E13" t="s">
        <v>0</v>
      </c>
      <c r="F13" s="13">
        <v>0</v>
      </c>
      <c r="G13" s="14">
        <v>0</v>
      </c>
      <c r="H13" s="14">
        <v>0</v>
      </c>
      <c r="I13" s="14">
        <v>1</v>
      </c>
      <c r="J13" s="14">
        <v>1</v>
      </c>
      <c r="K13" s="14">
        <v>0</v>
      </c>
      <c r="L13" s="14">
        <v>0</v>
      </c>
      <c r="M13" s="14">
        <v>1</v>
      </c>
      <c r="N13" s="15">
        <v>1</v>
      </c>
      <c r="O13" s="13">
        <v>0</v>
      </c>
      <c r="P13" s="14">
        <v>0</v>
      </c>
      <c r="Q13" s="14">
        <v>0</v>
      </c>
      <c r="R13" s="15">
        <v>0</v>
      </c>
      <c r="S13" s="13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5">
        <v>0</v>
      </c>
      <c r="Z13" s="13">
        <v>0</v>
      </c>
      <c r="AA13" s="14">
        <v>0</v>
      </c>
      <c r="AB13" s="14">
        <v>0</v>
      </c>
      <c r="AC13" s="14">
        <v>0</v>
      </c>
      <c r="AD13" s="14">
        <v>0</v>
      </c>
      <c r="AE13" s="15">
        <v>0</v>
      </c>
      <c r="AF13" s="13">
        <v>0</v>
      </c>
      <c r="AG13" s="14">
        <v>0</v>
      </c>
      <c r="AH13" s="14">
        <v>0</v>
      </c>
      <c r="AI13" s="14">
        <v>0</v>
      </c>
      <c r="AJ13" s="14">
        <v>0</v>
      </c>
      <c r="AK13" s="14">
        <v>0</v>
      </c>
      <c r="AL13" s="14">
        <v>0</v>
      </c>
      <c r="AM13" s="14">
        <v>0</v>
      </c>
      <c r="AN13" s="14">
        <v>0</v>
      </c>
      <c r="AO13" s="14">
        <v>0</v>
      </c>
      <c r="AP13" s="14">
        <v>0</v>
      </c>
      <c r="AQ13" s="15">
        <v>0</v>
      </c>
      <c r="AR13" s="13">
        <v>0</v>
      </c>
      <c r="AS13" s="14">
        <v>0</v>
      </c>
      <c r="AT13" s="14">
        <v>0</v>
      </c>
      <c r="AU13" s="15">
        <v>0</v>
      </c>
      <c r="AW13">
        <f t="shared" si="46"/>
        <v>4</v>
      </c>
      <c r="AY13" s="12">
        <f t="shared" ca="1" si="47"/>
        <v>1.686093278847487E-201</v>
      </c>
      <c r="BA13" s="11">
        <f t="shared" ca="1" si="4"/>
        <v>0</v>
      </c>
      <c r="BB13" s="11">
        <f t="shared" ca="1" si="5"/>
        <v>0</v>
      </c>
      <c r="BC13" s="11">
        <f t="shared" ca="1" si="6"/>
        <v>0</v>
      </c>
      <c r="BD13" s="11">
        <f t="shared" ca="1" si="7"/>
        <v>1.0116559673084922E-201</v>
      </c>
      <c r="BE13" s="11">
        <f t="shared" ca="1" si="8"/>
        <v>1.0116559673084922E-201</v>
      </c>
      <c r="BF13" s="11">
        <f t="shared" ca="1" si="9"/>
        <v>0</v>
      </c>
      <c r="BG13" s="11">
        <f t="shared" ca="1" si="10"/>
        <v>0</v>
      </c>
      <c r="BH13" s="11">
        <f t="shared" ca="1" si="11"/>
        <v>1.0116559673084922E-201</v>
      </c>
      <c r="BI13" s="11">
        <f t="shared" ca="1" si="12"/>
        <v>1.0116559673084922E-201</v>
      </c>
      <c r="BJ13" s="11">
        <f t="shared" ca="1" si="13"/>
        <v>0</v>
      </c>
      <c r="BK13" s="11">
        <f t="shared" ca="1" si="14"/>
        <v>0</v>
      </c>
      <c r="BL13" s="11">
        <f t="shared" ca="1" si="15"/>
        <v>0</v>
      </c>
      <c r="BM13" s="11">
        <f t="shared" ca="1" si="16"/>
        <v>0</v>
      </c>
      <c r="BN13" s="11">
        <f t="shared" ca="1" si="17"/>
        <v>0</v>
      </c>
      <c r="BO13" s="11">
        <f t="shared" ca="1" si="18"/>
        <v>0</v>
      </c>
      <c r="BP13" s="11">
        <f t="shared" ca="1" si="19"/>
        <v>0</v>
      </c>
      <c r="BQ13" s="11">
        <f t="shared" ca="1" si="20"/>
        <v>0</v>
      </c>
      <c r="BR13" s="11">
        <f t="shared" ca="1" si="21"/>
        <v>0</v>
      </c>
      <c r="BS13" s="11">
        <f t="shared" ca="1" si="22"/>
        <v>0</v>
      </c>
      <c r="BT13" s="11">
        <f t="shared" ca="1" si="23"/>
        <v>0</v>
      </c>
      <c r="BU13" s="11">
        <f t="shared" ca="1" si="24"/>
        <v>0</v>
      </c>
      <c r="BV13" s="11">
        <f t="shared" ca="1" si="25"/>
        <v>0</v>
      </c>
      <c r="BW13" s="11">
        <f t="shared" ca="1" si="26"/>
        <v>0</v>
      </c>
      <c r="BX13" s="11">
        <f t="shared" ca="1" si="27"/>
        <v>0</v>
      </c>
      <c r="BY13" s="11">
        <f t="shared" ca="1" si="28"/>
        <v>0</v>
      </c>
      <c r="BZ13" s="11">
        <f t="shared" ca="1" si="29"/>
        <v>0</v>
      </c>
      <c r="CA13" s="11">
        <f t="shared" ca="1" si="30"/>
        <v>0</v>
      </c>
      <c r="CB13" s="11">
        <f t="shared" ca="1" si="31"/>
        <v>0</v>
      </c>
      <c r="CC13" s="11">
        <f t="shared" ca="1" si="32"/>
        <v>0</v>
      </c>
      <c r="CD13" s="11">
        <f t="shared" ca="1" si="33"/>
        <v>0</v>
      </c>
      <c r="CE13" s="11">
        <f t="shared" ca="1" si="34"/>
        <v>0</v>
      </c>
      <c r="CF13" s="11">
        <f t="shared" ca="1" si="35"/>
        <v>0</v>
      </c>
      <c r="CG13" s="11">
        <f t="shared" ca="1" si="36"/>
        <v>0</v>
      </c>
      <c r="CH13" s="11">
        <f t="shared" ca="1" si="37"/>
        <v>0</v>
      </c>
      <c r="CI13" s="11">
        <f t="shared" ca="1" si="38"/>
        <v>0</v>
      </c>
      <c r="CJ13" s="11">
        <f t="shared" ca="1" si="39"/>
        <v>0</v>
      </c>
      <c r="CK13" s="11">
        <f t="shared" ca="1" si="40"/>
        <v>0</v>
      </c>
      <c r="CL13" s="11">
        <f t="shared" ca="1" si="41"/>
        <v>0</v>
      </c>
      <c r="CM13" s="11">
        <f t="shared" ca="1" si="42"/>
        <v>0</v>
      </c>
      <c r="CN13" s="11">
        <f t="shared" ca="1" si="43"/>
        <v>0</v>
      </c>
      <c r="CO13" s="11">
        <f t="shared" ca="1" si="44"/>
        <v>0</v>
      </c>
      <c r="CP13" s="11">
        <f t="shared" ca="1" si="45"/>
        <v>0</v>
      </c>
    </row>
    <row r="14" spans="1:94" ht="14.45" x14ac:dyDescent="0.3">
      <c r="A14" t="str">
        <f t="shared" si="2"/>
        <v>78</v>
      </c>
      <c r="B14">
        <f t="shared" si="3"/>
        <v>120</v>
      </c>
      <c r="C14" s="20">
        <v>7.6329373695999934</v>
      </c>
      <c r="D14">
        <v>8</v>
      </c>
      <c r="E14" t="s">
        <v>0</v>
      </c>
      <c r="F14" s="13">
        <v>0</v>
      </c>
      <c r="G14" s="14">
        <v>0</v>
      </c>
      <c r="H14" s="14">
        <v>0</v>
      </c>
      <c r="I14" s="14">
        <v>0</v>
      </c>
      <c r="J14" s="14">
        <v>1</v>
      </c>
      <c r="K14" s="14">
        <v>1</v>
      </c>
      <c r="L14" s="14">
        <v>1</v>
      </c>
      <c r="M14" s="14">
        <v>0</v>
      </c>
      <c r="N14" s="15">
        <v>1</v>
      </c>
      <c r="O14" s="13">
        <v>0</v>
      </c>
      <c r="P14" s="14">
        <v>0</v>
      </c>
      <c r="Q14" s="14">
        <v>0</v>
      </c>
      <c r="R14" s="15">
        <v>0</v>
      </c>
      <c r="S14" s="13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5">
        <v>0</v>
      </c>
      <c r="Z14" s="13">
        <v>0</v>
      </c>
      <c r="AA14" s="14">
        <v>0</v>
      </c>
      <c r="AB14" s="14">
        <v>0</v>
      </c>
      <c r="AC14" s="14">
        <v>0</v>
      </c>
      <c r="AD14" s="14">
        <v>0</v>
      </c>
      <c r="AE14" s="15">
        <v>0</v>
      </c>
      <c r="AF14" s="13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5">
        <v>0</v>
      </c>
      <c r="AR14" s="13">
        <v>0</v>
      </c>
      <c r="AS14" s="14">
        <v>0</v>
      </c>
      <c r="AT14" s="14">
        <v>0</v>
      </c>
      <c r="AU14" s="15">
        <v>0</v>
      </c>
      <c r="AW14">
        <f t="shared" si="46"/>
        <v>4</v>
      </c>
      <c r="AY14" s="12">
        <f t="shared" ca="1" si="47"/>
        <v>1.686093278847487E-201</v>
      </c>
      <c r="BA14" s="11">
        <f t="shared" ca="1" si="4"/>
        <v>0</v>
      </c>
      <c r="BB14" s="11">
        <f t="shared" ca="1" si="5"/>
        <v>0</v>
      </c>
      <c r="BC14" s="11">
        <f t="shared" ca="1" si="6"/>
        <v>0</v>
      </c>
      <c r="BD14" s="11">
        <f t="shared" ca="1" si="7"/>
        <v>0</v>
      </c>
      <c r="BE14" s="11">
        <f t="shared" ca="1" si="8"/>
        <v>1.0116559673084922E-201</v>
      </c>
      <c r="BF14" s="11">
        <f t="shared" ca="1" si="9"/>
        <v>1.0116559673084922E-201</v>
      </c>
      <c r="BG14" s="11">
        <f t="shared" ca="1" si="10"/>
        <v>1.0116559673084922E-201</v>
      </c>
      <c r="BH14" s="11">
        <f t="shared" ca="1" si="11"/>
        <v>0</v>
      </c>
      <c r="BI14" s="11">
        <f t="shared" ca="1" si="12"/>
        <v>1.0116559673084922E-201</v>
      </c>
      <c r="BJ14" s="11">
        <f t="shared" ca="1" si="13"/>
        <v>0</v>
      </c>
      <c r="BK14" s="11">
        <f t="shared" ca="1" si="14"/>
        <v>0</v>
      </c>
      <c r="BL14" s="11">
        <f t="shared" ca="1" si="15"/>
        <v>0</v>
      </c>
      <c r="BM14" s="11">
        <f t="shared" ca="1" si="16"/>
        <v>0</v>
      </c>
      <c r="BN14" s="11">
        <f t="shared" ca="1" si="17"/>
        <v>0</v>
      </c>
      <c r="BO14" s="11">
        <f t="shared" ca="1" si="18"/>
        <v>0</v>
      </c>
      <c r="BP14" s="11">
        <f t="shared" ca="1" si="19"/>
        <v>0</v>
      </c>
      <c r="BQ14" s="11">
        <f t="shared" ca="1" si="20"/>
        <v>0</v>
      </c>
      <c r="BR14" s="11">
        <f t="shared" ca="1" si="21"/>
        <v>0</v>
      </c>
      <c r="BS14" s="11">
        <f t="shared" ca="1" si="22"/>
        <v>0</v>
      </c>
      <c r="BT14" s="11">
        <f t="shared" ca="1" si="23"/>
        <v>0</v>
      </c>
      <c r="BU14" s="11">
        <f t="shared" ca="1" si="24"/>
        <v>0</v>
      </c>
      <c r="BV14" s="11">
        <f t="shared" ca="1" si="25"/>
        <v>0</v>
      </c>
      <c r="BW14" s="11">
        <f t="shared" ca="1" si="26"/>
        <v>0</v>
      </c>
      <c r="BX14" s="11">
        <f t="shared" ca="1" si="27"/>
        <v>0</v>
      </c>
      <c r="BY14" s="11">
        <f t="shared" ca="1" si="28"/>
        <v>0</v>
      </c>
      <c r="BZ14" s="11">
        <f t="shared" ca="1" si="29"/>
        <v>0</v>
      </c>
      <c r="CA14" s="11">
        <f t="shared" ca="1" si="30"/>
        <v>0</v>
      </c>
      <c r="CB14" s="11">
        <f t="shared" ca="1" si="31"/>
        <v>0</v>
      </c>
      <c r="CC14" s="11">
        <f t="shared" ca="1" si="32"/>
        <v>0</v>
      </c>
      <c r="CD14" s="11">
        <f t="shared" ca="1" si="33"/>
        <v>0</v>
      </c>
      <c r="CE14" s="11">
        <f t="shared" ca="1" si="34"/>
        <v>0</v>
      </c>
      <c r="CF14" s="11">
        <f t="shared" ca="1" si="35"/>
        <v>0</v>
      </c>
      <c r="CG14" s="11">
        <f t="shared" ca="1" si="36"/>
        <v>0</v>
      </c>
      <c r="CH14" s="11">
        <f t="shared" ca="1" si="37"/>
        <v>0</v>
      </c>
      <c r="CI14" s="11">
        <f t="shared" ca="1" si="38"/>
        <v>0</v>
      </c>
      <c r="CJ14" s="11">
        <f t="shared" ca="1" si="39"/>
        <v>0</v>
      </c>
      <c r="CK14" s="11">
        <f t="shared" ca="1" si="40"/>
        <v>0</v>
      </c>
      <c r="CL14" s="11">
        <f t="shared" ca="1" si="41"/>
        <v>0</v>
      </c>
      <c r="CM14" s="11">
        <f t="shared" ca="1" si="42"/>
        <v>0</v>
      </c>
      <c r="CN14" s="11">
        <f t="shared" ca="1" si="43"/>
        <v>0</v>
      </c>
      <c r="CO14" s="11">
        <f t="shared" ca="1" si="44"/>
        <v>0</v>
      </c>
      <c r="CP14" s="11">
        <f t="shared" ca="1" si="45"/>
        <v>0</v>
      </c>
    </row>
    <row r="15" spans="1:94" ht="14.45" x14ac:dyDescent="0.3">
      <c r="A15" t="str">
        <f t="shared" si="2"/>
        <v>7B</v>
      </c>
      <c r="B15">
        <f t="shared" si="3"/>
        <v>123</v>
      </c>
      <c r="C15" s="20">
        <v>7.7468317695999938</v>
      </c>
      <c r="D15">
        <v>9</v>
      </c>
      <c r="E15" t="s">
        <v>0</v>
      </c>
      <c r="F15" s="13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1</v>
      </c>
      <c r="M15" s="14">
        <v>1</v>
      </c>
      <c r="N15" s="15">
        <v>0</v>
      </c>
      <c r="O15" s="13">
        <v>1</v>
      </c>
      <c r="P15" s="14">
        <v>0</v>
      </c>
      <c r="Q15" s="14">
        <v>0</v>
      </c>
      <c r="R15" s="15">
        <v>0</v>
      </c>
      <c r="S15" s="13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5">
        <v>0</v>
      </c>
      <c r="Z15" s="13">
        <v>0</v>
      </c>
      <c r="AA15" s="14">
        <v>0</v>
      </c>
      <c r="AB15" s="14">
        <v>0</v>
      </c>
      <c r="AC15" s="14">
        <v>0</v>
      </c>
      <c r="AD15" s="14">
        <v>0</v>
      </c>
      <c r="AE15" s="15">
        <v>0</v>
      </c>
      <c r="AF15" s="13">
        <v>0</v>
      </c>
      <c r="AG15" s="14">
        <v>0</v>
      </c>
      <c r="AH15" s="14">
        <v>0</v>
      </c>
      <c r="AI15" s="14">
        <v>0</v>
      </c>
      <c r="AJ15" s="14">
        <v>0</v>
      </c>
      <c r="AK15" s="14">
        <v>0</v>
      </c>
      <c r="AL15" s="14">
        <v>0</v>
      </c>
      <c r="AM15" s="14">
        <v>0</v>
      </c>
      <c r="AN15" s="14">
        <v>0</v>
      </c>
      <c r="AO15" s="14">
        <v>0</v>
      </c>
      <c r="AP15" s="14">
        <v>0</v>
      </c>
      <c r="AQ15" s="15">
        <v>0</v>
      </c>
      <c r="AR15" s="13">
        <v>0</v>
      </c>
      <c r="AS15" s="14">
        <v>0</v>
      </c>
      <c r="AT15" s="14">
        <v>0</v>
      </c>
      <c r="AU15" s="15">
        <v>0</v>
      </c>
      <c r="AW15">
        <f t="shared" si="46"/>
        <v>3</v>
      </c>
      <c r="AY15" s="12">
        <f t="shared" ca="1" si="47"/>
        <v>1.686093278847487E-201</v>
      </c>
      <c r="BA15" s="11">
        <f ca="1">F15*F$4*F$1</f>
        <v>0</v>
      </c>
      <c r="BB15" s="11">
        <f t="shared" ref="BB15:CP21" ca="1" si="48">G15*G$4*G$1</f>
        <v>0</v>
      </c>
      <c r="BC15" s="11">
        <f t="shared" ca="1" si="48"/>
        <v>0</v>
      </c>
      <c r="BD15" s="11">
        <f t="shared" ca="1" si="48"/>
        <v>0</v>
      </c>
      <c r="BE15" s="11">
        <f t="shared" ca="1" si="48"/>
        <v>0</v>
      </c>
      <c r="BF15" s="11">
        <f t="shared" ca="1" si="48"/>
        <v>0</v>
      </c>
      <c r="BG15" s="11">
        <f t="shared" ca="1" si="48"/>
        <v>1.0116559673084922E-201</v>
      </c>
      <c r="BH15" s="11">
        <f t="shared" ca="1" si="48"/>
        <v>1.0116559673084922E-201</v>
      </c>
      <c r="BI15" s="11">
        <f t="shared" ca="1" si="48"/>
        <v>0</v>
      </c>
      <c r="BJ15" s="11">
        <f t="shared" ca="1" si="48"/>
        <v>1.0116559673084922E-201</v>
      </c>
      <c r="BK15" s="11">
        <f t="shared" ca="1" si="48"/>
        <v>0</v>
      </c>
      <c r="BL15" s="11">
        <f t="shared" ca="1" si="48"/>
        <v>0</v>
      </c>
      <c r="BM15" s="11">
        <f t="shared" ca="1" si="48"/>
        <v>0</v>
      </c>
      <c r="BN15" s="11">
        <f t="shared" ca="1" si="48"/>
        <v>0</v>
      </c>
      <c r="BO15" s="11">
        <f t="shared" ca="1" si="48"/>
        <v>0</v>
      </c>
      <c r="BP15" s="11">
        <f t="shared" ca="1" si="48"/>
        <v>0</v>
      </c>
      <c r="BQ15" s="11">
        <f t="shared" ca="1" si="48"/>
        <v>0</v>
      </c>
      <c r="BR15" s="11">
        <f t="shared" ca="1" si="48"/>
        <v>0</v>
      </c>
      <c r="BS15" s="11">
        <f t="shared" ca="1" si="48"/>
        <v>0</v>
      </c>
      <c r="BT15" s="11">
        <f t="shared" ca="1" si="48"/>
        <v>0</v>
      </c>
      <c r="BU15" s="11">
        <f t="shared" ca="1" si="48"/>
        <v>0</v>
      </c>
      <c r="BV15" s="11">
        <f t="shared" ca="1" si="48"/>
        <v>0</v>
      </c>
      <c r="BW15" s="11">
        <f t="shared" ca="1" si="48"/>
        <v>0</v>
      </c>
      <c r="BX15" s="11">
        <f t="shared" ca="1" si="48"/>
        <v>0</v>
      </c>
      <c r="BY15" s="11">
        <f t="shared" ca="1" si="48"/>
        <v>0</v>
      </c>
      <c r="BZ15" s="11">
        <f t="shared" ca="1" si="48"/>
        <v>0</v>
      </c>
      <c r="CA15" s="11">
        <f t="shared" ca="1" si="48"/>
        <v>0</v>
      </c>
      <c r="CB15" s="11">
        <f t="shared" ca="1" si="48"/>
        <v>0</v>
      </c>
      <c r="CC15" s="11">
        <f t="shared" ca="1" si="48"/>
        <v>0</v>
      </c>
      <c r="CD15" s="11">
        <f t="shared" ca="1" si="48"/>
        <v>0</v>
      </c>
      <c r="CE15" s="11">
        <f t="shared" ca="1" si="48"/>
        <v>0</v>
      </c>
      <c r="CF15" s="11">
        <f t="shared" ca="1" si="48"/>
        <v>0</v>
      </c>
      <c r="CG15" s="11">
        <f t="shared" ca="1" si="48"/>
        <v>0</v>
      </c>
      <c r="CH15" s="11">
        <f t="shared" ca="1" si="48"/>
        <v>0</v>
      </c>
      <c r="CI15" s="11">
        <f t="shared" ca="1" si="48"/>
        <v>0</v>
      </c>
      <c r="CJ15" s="11">
        <f t="shared" ca="1" si="48"/>
        <v>0</v>
      </c>
      <c r="CK15" s="11">
        <f t="shared" ca="1" si="48"/>
        <v>0</v>
      </c>
      <c r="CL15" s="11">
        <f t="shared" ca="1" si="48"/>
        <v>0</v>
      </c>
      <c r="CM15" s="11">
        <f t="shared" ca="1" si="48"/>
        <v>0</v>
      </c>
      <c r="CN15" s="11">
        <f t="shared" ca="1" si="48"/>
        <v>0</v>
      </c>
      <c r="CO15" s="11">
        <f t="shared" ca="1" si="48"/>
        <v>0</v>
      </c>
      <c r="CP15" s="11">
        <f t="shared" ca="1" si="48"/>
        <v>0</v>
      </c>
    </row>
    <row r="16" spans="1:94" ht="14.45" x14ac:dyDescent="0.3">
      <c r="A16" t="str">
        <f t="shared" si="2"/>
        <v>84</v>
      </c>
      <c r="B16">
        <f t="shared" si="3"/>
        <v>132</v>
      </c>
      <c r="C16" s="20">
        <v>7.9992156159999963</v>
      </c>
      <c r="D16">
        <v>10</v>
      </c>
      <c r="E16" t="s">
        <v>1</v>
      </c>
      <c r="F16" s="13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v>1</v>
      </c>
      <c r="O16" s="13">
        <v>0</v>
      </c>
      <c r="P16" s="14">
        <v>1</v>
      </c>
      <c r="Q16" s="14">
        <v>1</v>
      </c>
      <c r="R16" s="15">
        <v>0</v>
      </c>
      <c r="S16" s="13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5">
        <v>0</v>
      </c>
      <c r="Z16" s="13">
        <v>0</v>
      </c>
      <c r="AA16" s="14">
        <v>0</v>
      </c>
      <c r="AB16" s="14">
        <v>0</v>
      </c>
      <c r="AC16" s="14">
        <v>0</v>
      </c>
      <c r="AD16" s="14">
        <v>0</v>
      </c>
      <c r="AE16" s="15">
        <v>0</v>
      </c>
      <c r="AF16" s="13">
        <v>0</v>
      </c>
      <c r="AG16" s="14">
        <v>0</v>
      </c>
      <c r="AH16" s="14">
        <v>0</v>
      </c>
      <c r="AI16" s="14">
        <v>0</v>
      </c>
      <c r="AJ16" s="14">
        <v>0</v>
      </c>
      <c r="AK16" s="14">
        <v>0</v>
      </c>
      <c r="AL16" s="14">
        <v>0</v>
      </c>
      <c r="AM16" s="14">
        <v>0</v>
      </c>
      <c r="AN16" s="14">
        <v>0</v>
      </c>
      <c r="AO16" s="14">
        <v>0</v>
      </c>
      <c r="AP16" s="14">
        <v>0</v>
      </c>
      <c r="AQ16" s="15">
        <v>0</v>
      </c>
      <c r="AR16" s="13">
        <v>0</v>
      </c>
      <c r="AS16" s="14">
        <v>0</v>
      </c>
      <c r="AT16" s="14">
        <v>0</v>
      </c>
      <c r="AU16" s="15">
        <v>0</v>
      </c>
      <c r="AW16">
        <f t="shared" si="46"/>
        <v>3</v>
      </c>
      <c r="AY16" s="12">
        <f t="shared" ca="1" si="47"/>
        <v>1.686093278847487E-201</v>
      </c>
      <c r="BA16" s="11">
        <f t="shared" ref="BA16:BA48" ca="1" si="49">F16*F$4*F$1</f>
        <v>0</v>
      </c>
      <c r="BB16" s="11">
        <f t="shared" ca="1" si="48"/>
        <v>0</v>
      </c>
      <c r="BC16" s="11">
        <f t="shared" ca="1" si="48"/>
        <v>0</v>
      </c>
      <c r="BD16" s="11">
        <f t="shared" ca="1" si="48"/>
        <v>0</v>
      </c>
      <c r="BE16" s="11">
        <f t="shared" ca="1" si="48"/>
        <v>0</v>
      </c>
      <c r="BF16" s="11">
        <f t="shared" ca="1" si="48"/>
        <v>0</v>
      </c>
      <c r="BG16" s="11">
        <f t="shared" ca="1" si="48"/>
        <v>0</v>
      </c>
      <c r="BH16" s="11">
        <f t="shared" ca="1" si="48"/>
        <v>0</v>
      </c>
      <c r="BI16" s="11">
        <f t="shared" ca="1" si="48"/>
        <v>1.0116559673084922E-201</v>
      </c>
      <c r="BJ16" s="11">
        <f t="shared" ca="1" si="48"/>
        <v>0</v>
      </c>
      <c r="BK16" s="11">
        <f t="shared" ca="1" si="48"/>
        <v>1.0116559673084922E-201</v>
      </c>
      <c r="BL16" s="11">
        <f t="shared" ca="1" si="48"/>
        <v>1.0116559673084922E-201</v>
      </c>
      <c r="BM16" s="11">
        <f t="shared" ca="1" si="48"/>
        <v>0</v>
      </c>
      <c r="BN16" s="11">
        <f t="shared" ca="1" si="48"/>
        <v>0</v>
      </c>
      <c r="BO16" s="11">
        <f t="shared" ca="1" si="48"/>
        <v>0</v>
      </c>
      <c r="BP16" s="11">
        <f t="shared" ca="1" si="48"/>
        <v>0</v>
      </c>
      <c r="BQ16" s="11">
        <f t="shared" ca="1" si="48"/>
        <v>0</v>
      </c>
      <c r="BR16" s="11">
        <f t="shared" ca="1" si="48"/>
        <v>0</v>
      </c>
      <c r="BS16" s="11">
        <f t="shared" ca="1" si="48"/>
        <v>0</v>
      </c>
      <c r="BT16" s="11">
        <f t="shared" ca="1" si="48"/>
        <v>0</v>
      </c>
      <c r="BU16" s="11">
        <f t="shared" ca="1" si="48"/>
        <v>0</v>
      </c>
      <c r="BV16" s="11">
        <f t="shared" ca="1" si="48"/>
        <v>0</v>
      </c>
      <c r="BW16" s="11">
        <f t="shared" ca="1" si="48"/>
        <v>0</v>
      </c>
      <c r="BX16" s="11">
        <f t="shared" ca="1" si="48"/>
        <v>0</v>
      </c>
      <c r="BY16" s="11">
        <f t="shared" ca="1" si="48"/>
        <v>0</v>
      </c>
      <c r="BZ16" s="11">
        <f t="shared" ca="1" si="48"/>
        <v>0</v>
      </c>
      <c r="CA16" s="11">
        <f t="shared" ca="1" si="48"/>
        <v>0</v>
      </c>
      <c r="CB16" s="11">
        <f t="shared" ca="1" si="48"/>
        <v>0</v>
      </c>
      <c r="CC16" s="11">
        <f t="shared" ca="1" si="48"/>
        <v>0</v>
      </c>
      <c r="CD16" s="11">
        <f t="shared" ca="1" si="48"/>
        <v>0</v>
      </c>
      <c r="CE16" s="11">
        <f t="shared" ca="1" si="48"/>
        <v>0</v>
      </c>
      <c r="CF16" s="11">
        <f t="shared" ca="1" si="48"/>
        <v>0</v>
      </c>
      <c r="CG16" s="11">
        <f t="shared" ca="1" si="48"/>
        <v>0</v>
      </c>
      <c r="CH16" s="11">
        <f t="shared" ca="1" si="48"/>
        <v>0</v>
      </c>
      <c r="CI16" s="11">
        <f t="shared" ca="1" si="48"/>
        <v>0</v>
      </c>
      <c r="CJ16" s="11">
        <f t="shared" ca="1" si="48"/>
        <v>0</v>
      </c>
      <c r="CK16" s="11">
        <f t="shared" ca="1" si="48"/>
        <v>0</v>
      </c>
      <c r="CL16" s="11">
        <f t="shared" ca="1" si="48"/>
        <v>0</v>
      </c>
      <c r="CM16" s="11">
        <f t="shared" ca="1" si="48"/>
        <v>0</v>
      </c>
      <c r="CN16" s="11">
        <f t="shared" ca="1" si="48"/>
        <v>0</v>
      </c>
      <c r="CO16" s="11">
        <f t="shared" ca="1" si="48"/>
        <v>0</v>
      </c>
      <c r="CP16" s="11">
        <f t="shared" ca="1" si="48"/>
        <v>0</v>
      </c>
    </row>
    <row r="17" spans="1:94" ht="14.45" x14ac:dyDescent="0.3">
      <c r="A17" t="str">
        <f t="shared" si="2"/>
        <v>68</v>
      </c>
      <c r="B17">
        <f t="shared" si="3"/>
        <v>104</v>
      </c>
      <c r="C17" s="20">
        <v>7.1907420159999988</v>
      </c>
      <c r="D17">
        <v>11</v>
      </c>
      <c r="E17" t="s">
        <v>1</v>
      </c>
      <c r="F17" s="13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v>0</v>
      </c>
      <c r="O17" s="13">
        <v>1</v>
      </c>
      <c r="P17" s="14">
        <v>0</v>
      </c>
      <c r="Q17" s="14">
        <v>1</v>
      </c>
      <c r="R17" s="15">
        <v>1</v>
      </c>
      <c r="S17" s="13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5">
        <v>0</v>
      </c>
      <c r="Z17" s="13">
        <v>0</v>
      </c>
      <c r="AA17" s="14">
        <v>0</v>
      </c>
      <c r="AB17" s="14">
        <v>0</v>
      </c>
      <c r="AC17" s="14">
        <v>0</v>
      </c>
      <c r="AD17" s="14">
        <v>0</v>
      </c>
      <c r="AE17" s="15">
        <v>0</v>
      </c>
      <c r="AF17" s="13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0</v>
      </c>
      <c r="AP17" s="14">
        <v>0</v>
      </c>
      <c r="AQ17" s="15">
        <v>0</v>
      </c>
      <c r="AR17" s="13">
        <v>0</v>
      </c>
      <c r="AS17" s="14">
        <v>0</v>
      </c>
      <c r="AT17" s="14">
        <v>0</v>
      </c>
      <c r="AU17" s="15">
        <v>0</v>
      </c>
      <c r="AW17">
        <f t="shared" si="46"/>
        <v>3</v>
      </c>
      <c r="AY17" s="12">
        <f t="shared" ca="1" si="47"/>
        <v>1.686093278847487E-201</v>
      </c>
      <c r="BA17" s="11">
        <f t="shared" ca="1" si="49"/>
        <v>0</v>
      </c>
      <c r="BB17" s="11">
        <f t="shared" ca="1" si="48"/>
        <v>0</v>
      </c>
      <c r="BC17" s="11">
        <f t="shared" ca="1" si="48"/>
        <v>0</v>
      </c>
      <c r="BD17" s="11">
        <f t="shared" ca="1" si="48"/>
        <v>0</v>
      </c>
      <c r="BE17" s="11">
        <f t="shared" ca="1" si="48"/>
        <v>0</v>
      </c>
      <c r="BF17" s="11">
        <f t="shared" ca="1" si="48"/>
        <v>0</v>
      </c>
      <c r="BG17" s="11">
        <f t="shared" ca="1" si="48"/>
        <v>0</v>
      </c>
      <c r="BH17" s="11">
        <f t="shared" ca="1" si="48"/>
        <v>0</v>
      </c>
      <c r="BI17" s="11">
        <f t="shared" ca="1" si="48"/>
        <v>0</v>
      </c>
      <c r="BJ17" s="11">
        <f t="shared" ca="1" si="48"/>
        <v>1.0116559673084922E-201</v>
      </c>
      <c r="BK17" s="11">
        <f t="shared" ca="1" si="48"/>
        <v>0</v>
      </c>
      <c r="BL17" s="11">
        <f t="shared" ca="1" si="48"/>
        <v>1.0116559673084922E-201</v>
      </c>
      <c r="BM17" s="11">
        <f t="shared" ca="1" si="48"/>
        <v>1.0116559673084922E-201</v>
      </c>
      <c r="BN17" s="11">
        <f t="shared" ca="1" si="48"/>
        <v>0</v>
      </c>
      <c r="BO17" s="11">
        <f t="shared" ca="1" si="48"/>
        <v>0</v>
      </c>
      <c r="BP17" s="11">
        <f t="shared" ca="1" si="48"/>
        <v>0</v>
      </c>
      <c r="BQ17" s="11">
        <f t="shared" ca="1" si="48"/>
        <v>0</v>
      </c>
      <c r="BR17" s="11">
        <f t="shared" ca="1" si="48"/>
        <v>0</v>
      </c>
      <c r="BS17" s="11">
        <f t="shared" ca="1" si="48"/>
        <v>0</v>
      </c>
      <c r="BT17" s="11">
        <f t="shared" ca="1" si="48"/>
        <v>0</v>
      </c>
      <c r="BU17" s="11">
        <f t="shared" ca="1" si="48"/>
        <v>0</v>
      </c>
      <c r="BV17" s="11">
        <f t="shared" ca="1" si="48"/>
        <v>0</v>
      </c>
      <c r="BW17" s="11">
        <f t="shared" ca="1" si="48"/>
        <v>0</v>
      </c>
      <c r="BX17" s="11">
        <f t="shared" ca="1" si="48"/>
        <v>0</v>
      </c>
      <c r="BY17" s="11">
        <f t="shared" ca="1" si="48"/>
        <v>0</v>
      </c>
      <c r="BZ17" s="11">
        <f t="shared" ca="1" si="48"/>
        <v>0</v>
      </c>
      <c r="CA17" s="11">
        <f t="shared" ca="1" si="48"/>
        <v>0</v>
      </c>
      <c r="CB17" s="11">
        <f t="shared" ca="1" si="48"/>
        <v>0</v>
      </c>
      <c r="CC17" s="11">
        <f t="shared" ca="1" si="48"/>
        <v>0</v>
      </c>
      <c r="CD17" s="11">
        <f t="shared" ca="1" si="48"/>
        <v>0</v>
      </c>
      <c r="CE17" s="11">
        <f t="shared" ca="1" si="48"/>
        <v>0</v>
      </c>
      <c r="CF17" s="11">
        <f t="shared" ca="1" si="48"/>
        <v>0</v>
      </c>
      <c r="CG17" s="11">
        <f t="shared" ca="1" si="48"/>
        <v>0</v>
      </c>
      <c r="CH17" s="11">
        <f t="shared" ca="1" si="48"/>
        <v>0</v>
      </c>
      <c r="CI17" s="11">
        <f t="shared" ca="1" si="48"/>
        <v>0</v>
      </c>
      <c r="CJ17" s="11">
        <f t="shared" ca="1" si="48"/>
        <v>0</v>
      </c>
      <c r="CK17" s="11">
        <f t="shared" ca="1" si="48"/>
        <v>0</v>
      </c>
      <c r="CL17" s="11">
        <f t="shared" ca="1" si="48"/>
        <v>0</v>
      </c>
      <c r="CM17" s="11">
        <f t="shared" ca="1" si="48"/>
        <v>0</v>
      </c>
      <c r="CN17" s="11">
        <f t="shared" ca="1" si="48"/>
        <v>0</v>
      </c>
      <c r="CO17" s="11">
        <f t="shared" ca="1" si="48"/>
        <v>0</v>
      </c>
      <c r="CP17" s="11">
        <f t="shared" ca="1" si="48"/>
        <v>0</v>
      </c>
    </row>
    <row r="18" spans="1:94" ht="14.45" x14ac:dyDescent="0.3">
      <c r="A18" t="str">
        <f t="shared" si="2"/>
        <v>AB</v>
      </c>
      <c r="B18">
        <f t="shared" si="3"/>
        <v>171</v>
      </c>
      <c r="C18" s="20">
        <v>9.1254169600000044</v>
      </c>
      <c r="D18">
        <v>12</v>
      </c>
      <c r="E18" t="s">
        <v>1</v>
      </c>
      <c r="F18" s="13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5">
        <v>0</v>
      </c>
      <c r="O18" s="13">
        <v>1</v>
      </c>
      <c r="P18" s="14">
        <v>1</v>
      </c>
      <c r="Q18" s="14">
        <v>0</v>
      </c>
      <c r="R18" s="15">
        <v>1</v>
      </c>
      <c r="S18" s="13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5">
        <v>0</v>
      </c>
      <c r="Z18" s="13">
        <v>1</v>
      </c>
      <c r="AA18" s="14">
        <v>0</v>
      </c>
      <c r="AB18" s="14">
        <v>0</v>
      </c>
      <c r="AC18" s="14">
        <v>0</v>
      </c>
      <c r="AD18" s="14">
        <v>0</v>
      </c>
      <c r="AE18" s="15">
        <v>0</v>
      </c>
      <c r="AF18" s="13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4">
        <v>0</v>
      </c>
      <c r="AP18" s="14">
        <v>0</v>
      </c>
      <c r="AQ18" s="15">
        <v>0</v>
      </c>
      <c r="AR18" s="13">
        <v>0</v>
      </c>
      <c r="AS18" s="14">
        <v>0</v>
      </c>
      <c r="AT18" s="14">
        <v>0</v>
      </c>
      <c r="AU18" s="15">
        <v>0</v>
      </c>
      <c r="AW18">
        <f t="shared" si="46"/>
        <v>4</v>
      </c>
      <c r="AY18" s="12">
        <f t="shared" ca="1" si="47"/>
        <v>1.686093278847487E-201</v>
      </c>
      <c r="BA18" s="11">
        <f t="shared" ca="1" si="49"/>
        <v>0</v>
      </c>
      <c r="BB18" s="11">
        <f t="shared" ca="1" si="48"/>
        <v>0</v>
      </c>
      <c r="BC18" s="11">
        <f t="shared" ca="1" si="48"/>
        <v>0</v>
      </c>
      <c r="BD18" s="11">
        <f t="shared" ca="1" si="48"/>
        <v>0</v>
      </c>
      <c r="BE18" s="11">
        <f t="shared" ca="1" si="48"/>
        <v>0</v>
      </c>
      <c r="BF18" s="11">
        <f t="shared" ca="1" si="48"/>
        <v>0</v>
      </c>
      <c r="BG18" s="11">
        <f t="shared" ca="1" si="48"/>
        <v>0</v>
      </c>
      <c r="BH18" s="11">
        <f t="shared" ca="1" si="48"/>
        <v>0</v>
      </c>
      <c r="BI18" s="11">
        <f t="shared" ca="1" si="48"/>
        <v>0</v>
      </c>
      <c r="BJ18" s="11">
        <f t="shared" ca="1" si="48"/>
        <v>1.0116559673084922E-201</v>
      </c>
      <c r="BK18" s="11">
        <f t="shared" ca="1" si="48"/>
        <v>1.0116559673084922E-201</v>
      </c>
      <c r="BL18" s="11">
        <f t="shared" ca="1" si="48"/>
        <v>0</v>
      </c>
      <c r="BM18" s="11">
        <f t="shared" ca="1" si="48"/>
        <v>1.0116559673084922E-201</v>
      </c>
      <c r="BN18" s="11">
        <f t="shared" ca="1" si="48"/>
        <v>0</v>
      </c>
      <c r="BO18" s="11">
        <f t="shared" ca="1" si="48"/>
        <v>0</v>
      </c>
      <c r="BP18" s="11">
        <f t="shared" ca="1" si="48"/>
        <v>0</v>
      </c>
      <c r="BQ18" s="11">
        <f t="shared" ca="1" si="48"/>
        <v>0</v>
      </c>
      <c r="BR18" s="11">
        <f t="shared" ca="1" si="48"/>
        <v>0</v>
      </c>
      <c r="BS18" s="11">
        <f t="shared" ca="1" si="48"/>
        <v>0</v>
      </c>
      <c r="BT18" s="11">
        <f t="shared" ca="1" si="48"/>
        <v>0</v>
      </c>
      <c r="BU18" s="11">
        <f t="shared" ca="1" si="48"/>
        <v>1.0116559673084922E-201</v>
      </c>
      <c r="BV18" s="11">
        <f t="shared" ca="1" si="48"/>
        <v>0</v>
      </c>
      <c r="BW18" s="11">
        <f t="shared" ca="1" si="48"/>
        <v>0</v>
      </c>
      <c r="BX18" s="11">
        <f t="shared" ca="1" si="48"/>
        <v>0</v>
      </c>
      <c r="BY18" s="11">
        <f t="shared" ca="1" si="48"/>
        <v>0</v>
      </c>
      <c r="BZ18" s="11">
        <f t="shared" ca="1" si="48"/>
        <v>0</v>
      </c>
      <c r="CA18" s="11">
        <f t="shared" ca="1" si="48"/>
        <v>0</v>
      </c>
      <c r="CB18" s="11">
        <f t="shared" ca="1" si="48"/>
        <v>0</v>
      </c>
      <c r="CC18" s="11">
        <f t="shared" ca="1" si="48"/>
        <v>0</v>
      </c>
      <c r="CD18" s="11">
        <f t="shared" ca="1" si="48"/>
        <v>0</v>
      </c>
      <c r="CE18" s="11">
        <f t="shared" ca="1" si="48"/>
        <v>0</v>
      </c>
      <c r="CF18" s="11">
        <f t="shared" ca="1" si="48"/>
        <v>0</v>
      </c>
      <c r="CG18" s="11">
        <f t="shared" ca="1" si="48"/>
        <v>0</v>
      </c>
      <c r="CH18" s="11">
        <f t="shared" ca="1" si="48"/>
        <v>0</v>
      </c>
      <c r="CI18" s="11">
        <f t="shared" ca="1" si="48"/>
        <v>0</v>
      </c>
      <c r="CJ18" s="11">
        <f t="shared" ca="1" si="48"/>
        <v>0</v>
      </c>
      <c r="CK18" s="11">
        <f t="shared" ca="1" si="48"/>
        <v>0</v>
      </c>
      <c r="CL18" s="11">
        <f t="shared" ca="1" si="48"/>
        <v>0</v>
      </c>
      <c r="CM18" s="11">
        <f t="shared" ca="1" si="48"/>
        <v>0</v>
      </c>
      <c r="CN18" s="11">
        <f t="shared" ca="1" si="48"/>
        <v>0</v>
      </c>
      <c r="CO18" s="11">
        <f t="shared" ca="1" si="48"/>
        <v>0</v>
      </c>
      <c r="CP18" s="11">
        <f t="shared" ca="1" si="48"/>
        <v>0</v>
      </c>
    </row>
    <row r="19" spans="1:94" ht="14.45" x14ac:dyDescent="0.3">
      <c r="A19" t="str">
        <f t="shared" si="2"/>
        <v>4B</v>
      </c>
      <c r="B19">
        <f t="shared" si="3"/>
        <v>75</v>
      </c>
      <c r="C19" s="20">
        <v>6.3552501760000002</v>
      </c>
      <c r="D19">
        <v>13</v>
      </c>
      <c r="E19" t="s">
        <v>1</v>
      </c>
      <c r="F19" s="13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5">
        <v>0</v>
      </c>
      <c r="O19" s="13">
        <v>0</v>
      </c>
      <c r="P19" s="14">
        <v>1</v>
      </c>
      <c r="Q19" s="14">
        <v>1</v>
      </c>
      <c r="R19" s="15">
        <v>0</v>
      </c>
      <c r="S19" s="13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5">
        <v>0</v>
      </c>
      <c r="Z19" s="13">
        <v>0</v>
      </c>
      <c r="AA19" s="14">
        <v>0</v>
      </c>
      <c r="AB19" s="14">
        <v>0</v>
      </c>
      <c r="AC19" s="14">
        <v>0</v>
      </c>
      <c r="AD19" s="14">
        <v>0</v>
      </c>
      <c r="AE19" s="15">
        <v>0</v>
      </c>
      <c r="AF19" s="13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5">
        <v>0</v>
      </c>
      <c r="AR19" s="13">
        <v>0</v>
      </c>
      <c r="AS19" s="14">
        <v>0</v>
      </c>
      <c r="AT19" s="14">
        <v>0</v>
      </c>
      <c r="AU19" s="15">
        <v>0</v>
      </c>
      <c r="AW19">
        <f t="shared" si="46"/>
        <v>2</v>
      </c>
      <c r="AY19" s="12">
        <f t="shared" ca="1" si="47"/>
        <v>1.686093278847487E-201</v>
      </c>
      <c r="BA19" s="11">
        <f t="shared" ca="1" si="49"/>
        <v>0</v>
      </c>
      <c r="BB19" s="11">
        <f t="shared" ca="1" si="48"/>
        <v>0</v>
      </c>
      <c r="BC19" s="11">
        <f t="shared" ca="1" si="48"/>
        <v>0</v>
      </c>
      <c r="BD19" s="11">
        <f t="shared" ca="1" si="48"/>
        <v>0</v>
      </c>
      <c r="BE19" s="11">
        <f t="shared" ca="1" si="48"/>
        <v>0</v>
      </c>
      <c r="BF19" s="11">
        <f t="shared" ca="1" si="48"/>
        <v>0</v>
      </c>
      <c r="BG19" s="11">
        <f t="shared" ca="1" si="48"/>
        <v>0</v>
      </c>
      <c r="BH19" s="11">
        <f t="shared" ca="1" si="48"/>
        <v>0</v>
      </c>
      <c r="BI19" s="11">
        <f t="shared" ca="1" si="48"/>
        <v>0</v>
      </c>
      <c r="BJ19" s="11">
        <f t="shared" ca="1" si="48"/>
        <v>0</v>
      </c>
      <c r="BK19" s="11">
        <f t="shared" ca="1" si="48"/>
        <v>1.0116559673084922E-201</v>
      </c>
      <c r="BL19" s="11">
        <f t="shared" ca="1" si="48"/>
        <v>1.0116559673084922E-201</v>
      </c>
      <c r="BM19" s="11">
        <f t="shared" ca="1" si="48"/>
        <v>0</v>
      </c>
      <c r="BN19" s="11">
        <f t="shared" ca="1" si="48"/>
        <v>0</v>
      </c>
      <c r="BO19" s="11">
        <f t="shared" ca="1" si="48"/>
        <v>0</v>
      </c>
      <c r="BP19" s="11">
        <f t="shared" ca="1" si="48"/>
        <v>0</v>
      </c>
      <c r="BQ19" s="11">
        <f t="shared" ca="1" si="48"/>
        <v>0</v>
      </c>
      <c r="BR19" s="11">
        <f t="shared" ca="1" si="48"/>
        <v>0</v>
      </c>
      <c r="BS19" s="11">
        <f t="shared" ca="1" si="48"/>
        <v>0</v>
      </c>
      <c r="BT19" s="11">
        <f t="shared" ca="1" si="48"/>
        <v>0</v>
      </c>
      <c r="BU19" s="11">
        <f t="shared" ca="1" si="48"/>
        <v>0</v>
      </c>
      <c r="BV19" s="11">
        <f t="shared" ca="1" si="48"/>
        <v>0</v>
      </c>
      <c r="BW19" s="11">
        <f t="shared" ca="1" si="48"/>
        <v>0</v>
      </c>
      <c r="BX19" s="11">
        <f t="shared" ca="1" si="48"/>
        <v>0</v>
      </c>
      <c r="BY19" s="11">
        <f t="shared" ca="1" si="48"/>
        <v>0</v>
      </c>
      <c r="BZ19" s="11">
        <f t="shared" ca="1" si="48"/>
        <v>0</v>
      </c>
      <c r="CA19" s="11">
        <f t="shared" ca="1" si="48"/>
        <v>0</v>
      </c>
      <c r="CB19" s="11">
        <f t="shared" ca="1" si="48"/>
        <v>0</v>
      </c>
      <c r="CC19" s="11">
        <f t="shared" ca="1" si="48"/>
        <v>0</v>
      </c>
      <c r="CD19" s="11">
        <f t="shared" ca="1" si="48"/>
        <v>0</v>
      </c>
      <c r="CE19" s="11">
        <f t="shared" ca="1" si="48"/>
        <v>0</v>
      </c>
      <c r="CF19" s="11">
        <f t="shared" ca="1" si="48"/>
        <v>0</v>
      </c>
      <c r="CG19" s="11">
        <f t="shared" ca="1" si="48"/>
        <v>0</v>
      </c>
      <c r="CH19" s="11">
        <f t="shared" ca="1" si="48"/>
        <v>0</v>
      </c>
      <c r="CI19" s="11">
        <f t="shared" ca="1" si="48"/>
        <v>0</v>
      </c>
      <c r="CJ19" s="11">
        <f t="shared" ca="1" si="48"/>
        <v>0</v>
      </c>
      <c r="CK19" s="11">
        <f t="shared" ca="1" si="48"/>
        <v>0</v>
      </c>
      <c r="CL19" s="11">
        <f t="shared" ca="1" si="48"/>
        <v>0</v>
      </c>
      <c r="CM19" s="11">
        <f t="shared" ca="1" si="48"/>
        <v>0</v>
      </c>
      <c r="CN19" s="11">
        <f t="shared" ca="1" si="48"/>
        <v>0</v>
      </c>
      <c r="CO19" s="11">
        <f t="shared" ca="1" si="48"/>
        <v>0</v>
      </c>
      <c r="CP19" s="11">
        <f t="shared" ca="1" si="48"/>
        <v>0</v>
      </c>
    </row>
    <row r="20" spans="1:94" ht="14.45" x14ac:dyDescent="0.3">
      <c r="A20" t="str">
        <f t="shared" si="2"/>
        <v>A6</v>
      </c>
      <c r="B20">
        <f t="shared" si="3"/>
        <v>166</v>
      </c>
      <c r="C20" s="20">
        <v>8.9674393599999984</v>
      </c>
      <c r="D20">
        <v>14</v>
      </c>
      <c r="E20" t="s">
        <v>2</v>
      </c>
      <c r="F20" s="13">
        <v>0</v>
      </c>
      <c r="G20" s="14">
        <v>0</v>
      </c>
      <c r="H20" s="14">
        <v>1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5">
        <v>0</v>
      </c>
      <c r="O20" s="13">
        <v>0</v>
      </c>
      <c r="P20" s="14">
        <v>0</v>
      </c>
      <c r="Q20" s="14">
        <v>0</v>
      </c>
      <c r="R20" s="15">
        <v>0</v>
      </c>
      <c r="S20" s="13">
        <v>0</v>
      </c>
      <c r="T20" s="14">
        <v>1</v>
      </c>
      <c r="U20" s="14">
        <v>1</v>
      </c>
      <c r="V20" s="14">
        <v>0</v>
      </c>
      <c r="W20" s="14">
        <v>0</v>
      </c>
      <c r="X20" s="14">
        <v>0</v>
      </c>
      <c r="Y20" s="15">
        <v>0</v>
      </c>
      <c r="Z20" s="13">
        <v>0</v>
      </c>
      <c r="AA20" s="14">
        <v>0</v>
      </c>
      <c r="AB20" s="14">
        <v>0</v>
      </c>
      <c r="AC20" s="14">
        <v>0</v>
      </c>
      <c r="AD20" s="14">
        <v>0</v>
      </c>
      <c r="AE20" s="15">
        <v>0</v>
      </c>
      <c r="AF20" s="13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4">
        <v>0</v>
      </c>
      <c r="AP20" s="14">
        <v>0</v>
      </c>
      <c r="AQ20" s="15">
        <v>0</v>
      </c>
      <c r="AR20" s="13">
        <v>0</v>
      </c>
      <c r="AS20" s="14">
        <v>0</v>
      </c>
      <c r="AT20" s="14">
        <v>0</v>
      </c>
      <c r="AU20" s="15">
        <v>0</v>
      </c>
      <c r="AW20">
        <f t="shared" si="46"/>
        <v>3</v>
      </c>
      <c r="AY20" s="12">
        <f t="shared" ca="1" si="47"/>
        <v>1.686093278847487E-201</v>
      </c>
      <c r="BA20" s="11">
        <f t="shared" ca="1" si="49"/>
        <v>0</v>
      </c>
      <c r="BB20" s="11">
        <f t="shared" ca="1" si="48"/>
        <v>0</v>
      </c>
      <c r="BC20" s="11">
        <f t="shared" ca="1" si="48"/>
        <v>1.0116559673084922E-201</v>
      </c>
      <c r="BD20" s="11">
        <f t="shared" ca="1" si="48"/>
        <v>0</v>
      </c>
      <c r="BE20" s="11">
        <f t="shared" ca="1" si="48"/>
        <v>0</v>
      </c>
      <c r="BF20" s="11">
        <f t="shared" ca="1" si="48"/>
        <v>0</v>
      </c>
      <c r="BG20" s="11">
        <f t="shared" ca="1" si="48"/>
        <v>0</v>
      </c>
      <c r="BH20" s="11">
        <f t="shared" ca="1" si="48"/>
        <v>0</v>
      </c>
      <c r="BI20" s="11">
        <f t="shared" ca="1" si="48"/>
        <v>0</v>
      </c>
      <c r="BJ20" s="11">
        <f t="shared" ca="1" si="48"/>
        <v>0</v>
      </c>
      <c r="BK20" s="11">
        <f t="shared" ca="1" si="48"/>
        <v>0</v>
      </c>
      <c r="BL20" s="11">
        <f t="shared" ca="1" si="48"/>
        <v>0</v>
      </c>
      <c r="BM20" s="11">
        <f t="shared" ca="1" si="48"/>
        <v>0</v>
      </c>
      <c r="BN20" s="11">
        <f t="shared" ca="1" si="48"/>
        <v>0</v>
      </c>
      <c r="BO20" s="11">
        <f t="shared" ca="1" si="48"/>
        <v>1.0116559673084922E-201</v>
      </c>
      <c r="BP20" s="11">
        <f t="shared" ca="1" si="48"/>
        <v>1.0116559673084922E-201</v>
      </c>
      <c r="BQ20" s="11">
        <f t="shared" ca="1" si="48"/>
        <v>0</v>
      </c>
      <c r="BR20" s="11">
        <f t="shared" ca="1" si="48"/>
        <v>0</v>
      </c>
      <c r="BS20" s="11">
        <f t="shared" ca="1" si="48"/>
        <v>0</v>
      </c>
      <c r="BT20" s="11">
        <f t="shared" ca="1" si="48"/>
        <v>0</v>
      </c>
      <c r="BU20" s="11">
        <f t="shared" ca="1" si="48"/>
        <v>0</v>
      </c>
      <c r="BV20" s="11">
        <f t="shared" ca="1" si="48"/>
        <v>0</v>
      </c>
      <c r="BW20" s="11">
        <f t="shared" ca="1" si="48"/>
        <v>0</v>
      </c>
      <c r="BX20" s="11">
        <f t="shared" ca="1" si="48"/>
        <v>0</v>
      </c>
      <c r="BY20" s="11">
        <f t="shared" ca="1" si="48"/>
        <v>0</v>
      </c>
      <c r="BZ20" s="11">
        <f t="shared" ca="1" si="48"/>
        <v>0</v>
      </c>
      <c r="CA20" s="11">
        <f t="shared" ca="1" si="48"/>
        <v>0</v>
      </c>
      <c r="CB20" s="11">
        <f t="shared" ca="1" si="48"/>
        <v>0</v>
      </c>
      <c r="CC20" s="11">
        <f t="shared" ca="1" si="48"/>
        <v>0</v>
      </c>
      <c r="CD20" s="11">
        <f t="shared" ca="1" si="48"/>
        <v>0</v>
      </c>
      <c r="CE20" s="11">
        <f t="shared" ca="1" si="48"/>
        <v>0</v>
      </c>
      <c r="CF20" s="11">
        <f t="shared" ca="1" si="48"/>
        <v>0</v>
      </c>
      <c r="CG20" s="11">
        <f t="shared" ca="1" si="48"/>
        <v>0</v>
      </c>
      <c r="CH20" s="11">
        <f t="shared" ca="1" si="48"/>
        <v>0</v>
      </c>
      <c r="CI20" s="11">
        <f t="shared" ca="1" si="48"/>
        <v>0</v>
      </c>
      <c r="CJ20" s="11">
        <f t="shared" ca="1" si="48"/>
        <v>0</v>
      </c>
      <c r="CK20" s="11">
        <f t="shared" ca="1" si="48"/>
        <v>0</v>
      </c>
      <c r="CL20" s="11">
        <f t="shared" ca="1" si="48"/>
        <v>0</v>
      </c>
      <c r="CM20" s="11">
        <f t="shared" ca="1" si="48"/>
        <v>0</v>
      </c>
      <c r="CN20" s="11">
        <f t="shared" ca="1" si="48"/>
        <v>0</v>
      </c>
      <c r="CO20" s="11">
        <f t="shared" ca="1" si="48"/>
        <v>0</v>
      </c>
      <c r="CP20" s="11">
        <f t="shared" ca="1" si="48"/>
        <v>0</v>
      </c>
    </row>
    <row r="21" spans="1:94" ht="14.45" x14ac:dyDescent="0.3">
      <c r="A21" t="str">
        <f t="shared" si="2"/>
        <v>AD</v>
      </c>
      <c r="B21">
        <f t="shared" si="3"/>
        <v>173</v>
      </c>
      <c r="C21" s="20">
        <v>9.1878553599999986</v>
      </c>
      <c r="D21">
        <v>15</v>
      </c>
      <c r="E21" t="s">
        <v>2</v>
      </c>
      <c r="F21" s="13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5">
        <v>0</v>
      </c>
      <c r="O21" s="13">
        <v>0</v>
      </c>
      <c r="P21" s="14">
        <v>0</v>
      </c>
      <c r="Q21" s="14">
        <v>0</v>
      </c>
      <c r="R21" s="15">
        <v>0</v>
      </c>
      <c r="S21" s="13">
        <v>1</v>
      </c>
      <c r="T21" s="14">
        <v>0</v>
      </c>
      <c r="U21" s="14">
        <v>1</v>
      </c>
      <c r="V21" s="14">
        <v>0</v>
      </c>
      <c r="W21" s="14">
        <v>1</v>
      </c>
      <c r="X21" s="14">
        <v>1</v>
      </c>
      <c r="Y21" s="15">
        <v>0</v>
      </c>
      <c r="Z21" s="13">
        <v>0</v>
      </c>
      <c r="AA21" s="14">
        <v>0</v>
      </c>
      <c r="AB21" s="14">
        <v>0</v>
      </c>
      <c r="AC21" s="14">
        <v>0</v>
      </c>
      <c r="AD21" s="14">
        <v>0</v>
      </c>
      <c r="AE21" s="15">
        <v>0</v>
      </c>
      <c r="AF21" s="13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4">
        <v>0</v>
      </c>
      <c r="AP21" s="14">
        <v>0</v>
      </c>
      <c r="AQ21" s="15">
        <v>0</v>
      </c>
      <c r="AR21" s="13">
        <v>0</v>
      </c>
      <c r="AS21" s="14">
        <v>0</v>
      </c>
      <c r="AT21" s="14">
        <v>0</v>
      </c>
      <c r="AU21" s="15">
        <v>0</v>
      </c>
      <c r="AW21">
        <f t="shared" si="46"/>
        <v>4</v>
      </c>
      <c r="AY21" s="12">
        <f t="shared" ca="1" si="47"/>
        <v>1.686093278847487E-201</v>
      </c>
      <c r="BA21" s="11">
        <f t="shared" ca="1" si="49"/>
        <v>0</v>
      </c>
      <c r="BB21" s="11">
        <f t="shared" ca="1" si="48"/>
        <v>0</v>
      </c>
      <c r="BC21" s="11">
        <f t="shared" ca="1" si="48"/>
        <v>0</v>
      </c>
      <c r="BD21" s="11">
        <f t="shared" ca="1" si="48"/>
        <v>0</v>
      </c>
      <c r="BE21" s="11">
        <f t="shared" ca="1" si="48"/>
        <v>0</v>
      </c>
      <c r="BF21" s="11">
        <f t="shared" ca="1" si="48"/>
        <v>0</v>
      </c>
      <c r="BG21" s="11">
        <f t="shared" ca="1" si="48"/>
        <v>0</v>
      </c>
      <c r="BH21" s="11">
        <f t="shared" ca="1" si="48"/>
        <v>0</v>
      </c>
      <c r="BI21" s="11">
        <f t="shared" ca="1" si="48"/>
        <v>0</v>
      </c>
      <c r="BJ21" s="11">
        <f t="shared" ca="1" si="48"/>
        <v>0</v>
      </c>
      <c r="BK21" s="11">
        <f t="shared" ref="BK21:BK23" ca="1" si="50">P21*P$4*P$1</f>
        <v>0</v>
      </c>
      <c r="BL21" s="11">
        <f t="shared" ref="BL21:BL23" ca="1" si="51">Q21*Q$4*Q$1</f>
        <v>0</v>
      </c>
      <c r="BM21" s="11">
        <f t="shared" ref="BM21:BM23" ca="1" si="52">R21*R$4*R$1</f>
        <v>0</v>
      </c>
      <c r="BN21" s="11">
        <f t="shared" ref="BN21:BN23" ca="1" si="53">S21*S$4*S$1</f>
        <v>1.0116559673084922E-201</v>
      </c>
      <c r="BO21" s="11">
        <f t="shared" ref="BO21:BO23" ca="1" si="54">T21*T$4*T$1</f>
        <v>0</v>
      </c>
      <c r="BP21" s="11">
        <f t="shared" ref="BP21:BP23" ca="1" si="55">U21*U$4*U$1</f>
        <v>1.0116559673084922E-201</v>
      </c>
      <c r="BQ21" s="11">
        <f t="shared" ref="BQ21:BQ23" ca="1" si="56">V21*V$4*V$1</f>
        <v>0</v>
      </c>
      <c r="BR21" s="11">
        <f t="shared" ref="BR21:CG39" ca="1" si="57">W21*W$4*W$1</f>
        <v>1.0116559673084922E-201</v>
      </c>
      <c r="BS21" s="11">
        <f t="shared" ref="BS21:BS23" ca="1" si="58">X21*X$4*X$1</f>
        <v>1.0116559673084922E-201</v>
      </c>
      <c r="BT21" s="11">
        <f t="shared" ref="BT21:BT23" ca="1" si="59">Y21*Y$4*Y$1</f>
        <v>0</v>
      </c>
      <c r="BU21" s="11">
        <f t="shared" ref="BU21:BU23" ca="1" si="60">Z21*Z$4*Z$1</f>
        <v>0</v>
      </c>
      <c r="BV21" s="11">
        <f t="shared" ref="BV21:BV23" ca="1" si="61">AA21*AA$4*AA$1</f>
        <v>0</v>
      </c>
      <c r="BW21" s="11">
        <f t="shared" ref="BW21:BW23" ca="1" si="62">AB21*AB$4*AB$1</f>
        <v>0</v>
      </c>
      <c r="BX21" s="11">
        <f t="shared" ref="BX21:BX23" ca="1" si="63">AC21*AC$4*AC$1</f>
        <v>0</v>
      </c>
      <c r="BY21" s="11">
        <f t="shared" ref="BY21:BY23" ca="1" si="64">AD21*AD$4*AD$1</f>
        <v>0</v>
      </c>
      <c r="BZ21" s="11">
        <f t="shared" ref="BZ21:BZ23" ca="1" si="65">AE21*AE$4*AE$1</f>
        <v>0</v>
      </c>
      <c r="CA21" s="11">
        <f t="shared" ref="CA21:CA23" ca="1" si="66">AF21*AF$4*AF$1</f>
        <v>0</v>
      </c>
      <c r="CB21" s="11">
        <f t="shared" ref="CB21:CB23" ca="1" si="67">AG21*AG$4*AG$1</f>
        <v>0</v>
      </c>
      <c r="CC21" s="11">
        <f t="shared" ref="CC21:CC23" ca="1" si="68">AH21*AH$4*AH$1</f>
        <v>0</v>
      </c>
      <c r="CD21" s="11">
        <f t="shared" ref="CD21:CD23" ca="1" si="69">AI21*AI$4*AI$1</f>
        <v>0</v>
      </c>
      <c r="CE21" s="11">
        <f t="shared" ref="CE21:CE23" ca="1" si="70">AJ21*AJ$4*AJ$1</f>
        <v>0</v>
      </c>
      <c r="CF21" s="11">
        <f t="shared" ref="CF21:CF23" ca="1" si="71">AK21*AK$4*AK$1</f>
        <v>0</v>
      </c>
      <c r="CG21" s="11">
        <f t="shared" ref="CG21:CG23" ca="1" si="72">AL21*AL$4*AL$1</f>
        <v>0</v>
      </c>
      <c r="CH21" s="11">
        <f t="shared" ref="CH21:CP48" ca="1" si="73">AM21*AM$4*AM$1</f>
        <v>0</v>
      </c>
      <c r="CI21" s="11">
        <f t="shared" ref="CI21:CI23" ca="1" si="74">AN21*AN$4*AN$1</f>
        <v>0</v>
      </c>
      <c r="CJ21" s="11">
        <f t="shared" ref="CJ21:CJ23" ca="1" si="75">AO21*AO$4*AO$1</f>
        <v>0</v>
      </c>
      <c r="CK21" s="11">
        <f t="shared" ref="CK21:CK23" ca="1" si="76">AP21*AP$4*AP$1</f>
        <v>0</v>
      </c>
      <c r="CL21" s="11">
        <f t="shared" ref="CL21:CL23" ca="1" si="77">AQ21*AQ$4*AQ$1</f>
        <v>0</v>
      </c>
      <c r="CM21" s="11">
        <f t="shared" ref="CM21:CM23" ca="1" si="78">AR21*AR$4*AR$1</f>
        <v>0</v>
      </c>
      <c r="CN21" s="11">
        <f t="shared" ref="CN21:CN23" ca="1" si="79">AS21*AS$4*AS$1</f>
        <v>0</v>
      </c>
      <c r="CO21" s="11">
        <f t="shared" ref="CO21:CO23" ca="1" si="80">AT21*AT$4*AT$1</f>
        <v>0</v>
      </c>
      <c r="CP21" s="11">
        <f t="shared" ref="CP21:CP23" ca="1" si="81">AU21*AU$4*AU$1</f>
        <v>0</v>
      </c>
    </row>
    <row r="22" spans="1:94" ht="14.45" x14ac:dyDescent="0.3">
      <c r="A22" t="str">
        <f t="shared" si="2"/>
        <v>B8</v>
      </c>
      <c r="B22">
        <f t="shared" si="3"/>
        <v>184</v>
      </c>
      <c r="C22" s="20">
        <v>9.4848255999999989</v>
      </c>
      <c r="D22">
        <v>16</v>
      </c>
      <c r="E22" t="s">
        <v>2</v>
      </c>
      <c r="F22" s="13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5">
        <v>0</v>
      </c>
      <c r="O22" s="13">
        <v>0</v>
      </c>
      <c r="P22" s="14">
        <v>0</v>
      </c>
      <c r="Q22" s="14">
        <v>0</v>
      </c>
      <c r="R22" s="15">
        <v>0</v>
      </c>
      <c r="S22" s="13">
        <v>1</v>
      </c>
      <c r="T22" s="14">
        <v>1</v>
      </c>
      <c r="U22" s="14">
        <v>0</v>
      </c>
      <c r="V22" s="14">
        <v>1</v>
      </c>
      <c r="W22" s="14">
        <v>0</v>
      </c>
      <c r="X22" s="14">
        <v>0</v>
      </c>
      <c r="Y22" s="15">
        <v>0</v>
      </c>
      <c r="Z22" s="13">
        <v>0</v>
      </c>
      <c r="AA22" s="14">
        <v>0</v>
      </c>
      <c r="AB22" s="14">
        <v>0</v>
      </c>
      <c r="AC22" s="14">
        <v>0</v>
      </c>
      <c r="AD22" s="14">
        <v>0</v>
      </c>
      <c r="AE22" s="15">
        <v>0</v>
      </c>
      <c r="AF22" s="13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v>0</v>
      </c>
      <c r="AM22" s="14">
        <v>0</v>
      </c>
      <c r="AN22" s="14">
        <v>0</v>
      </c>
      <c r="AO22" s="14">
        <v>0</v>
      </c>
      <c r="AP22" s="14">
        <v>0</v>
      </c>
      <c r="AQ22" s="15">
        <v>0</v>
      </c>
      <c r="AR22" s="13">
        <v>0</v>
      </c>
      <c r="AS22" s="14">
        <v>0</v>
      </c>
      <c r="AT22" s="14">
        <v>0</v>
      </c>
      <c r="AU22" s="15">
        <v>0</v>
      </c>
      <c r="AW22">
        <f t="shared" si="46"/>
        <v>3</v>
      </c>
      <c r="AY22" s="12">
        <f t="shared" ca="1" si="47"/>
        <v>1.686093278847487E-201</v>
      </c>
      <c r="BA22" s="11">
        <f t="shared" ca="1" si="49"/>
        <v>0</v>
      </c>
      <c r="BB22" s="11">
        <f t="shared" ref="BB22:BQ39" ca="1" si="82">G22*G$4*G$1</f>
        <v>0</v>
      </c>
      <c r="BC22" s="11">
        <f t="shared" ref="BC22:BC23" ca="1" si="83">H22*H$4*H$1</f>
        <v>0</v>
      </c>
      <c r="BD22" s="11">
        <f t="shared" ref="BD22:BD23" ca="1" si="84">I22*I$4*I$1</f>
        <v>0</v>
      </c>
      <c r="BE22" s="11">
        <f t="shared" ref="BE22:BE23" ca="1" si="85">J22*J$4*J$1</f>
        <v>0</v>
      </c>
      <c r="BF22" s="11">
        <f t="shared" ref="BF22:BF23" ca="1" si="86">K22*K$4*K$1</f>
        <v>0</v>
      </c>
      <c r="BG22" s="11">
        <f t="shared" ref="BG22:BG23" ca="1" si="87">L22*L$4*L$1</f>
        <v>0</v>
      </c>
      <c r="BH22" s="11">
        <f t="shared" ref="BH22:BH23" ca="1" si="88">M22*M$4*M$1</f>
        <v>0</v>
      </c>
      <c r="BI22" s="11">
        <f t="shared" ref="BI22:BI23" ca="1" si="89">N22*N$4*N$1</f>
        <v>0</v>
      </c>
      <c r="BJ22" s="11">
        <f t="shared" ref="BJ22:BJ23" ca="1" si="90">O22*O$4*O$1</f>
        <v>0</v>
      </c>
      <c r="BK22" s="11">
        <f t="shared" ca="1" si="50"/>
        <v>0</v>
      </c>
      <c r="BL22" s="11">
        <f t="shared" ca="1" si="51"/>
        <v>0</v>
      </c>
      <c r="BM22" s="11">
        <f t="shared" ca="1" si="52"/>
        <v>0</v>
      </c>
      <c r="BN22" s="11">
        <f t="shared" ca="1" si="53"/>
        <v>1.0116559673084922E-201</v>
      </c>
      <c r="BO22" s="11">
        <f t="shared" ca="1" si="54"/>
        <v>1.0116559673084922E-201</v>
      </c>
      <c r="BP22" s="11">
        <f t="shared" ca="1" si="55"/>
        <v>0</v>
      </c>
      <c r="BQ22" s="11">
        <f t="shared" ca="1" si="56"/>
        <v>1.0116559673084922E-201</v>
      </c>
      <c r="BR22" s="11">
        <f t="shared" ca="1" si="57"/>
        <v>0</v>
      </c>
      <c r="BS22" s="11">
        <f t="shared" ca="1" si="58"/>
        <v>0</v>
      </c>
      <c r="BT22" s="11">
        <f t="shared" ca="1" si="59"/>
        <v>0</v>
      </c>
      <c r="BU22" s="11">
        <f t="shared" ca="1" si="60"/>
        <v>0</v>
      </c>
      <c r="BV22" s="11">
        <f t="shared" ca="1" si="61"/>
        <v>0</v>
      </c>
      <c r="BW22" s="11">
        <f t="shared" ca="1" si="62"/>
        <v>0</v>
      </c>
      <c r="BX22" s="11">
        <f t="shared" ca="1" si="63"/>
        <v>0</v>
      </c>
      <c r="BY22" s="11">
        <f t="shared" ca="1" si="64"/>
        <v>0</v>
      </c>
      <c r="BZ22" s="11">
        <f t="shared" ca="1" si="65"/>
        <v>0</v>
      </c>
      <c r="CA22" s="11">
        <f t="shared" ca="1" si="66"/>
        <v>0</v>
      </c>
      <c r="CB22" s="11">
        <f t="shared" ca="1" si="67"/>
        <v>0</v>
      </c>
      <c r="CC22" s="11">
        <f t="shared" ca="1" si="68"/>
        <v>0</v>
      </c>
      <c r="CD22" s="11">
        <f t="shared" ca="1" si="69"/>
        <v>0</v>
      </c>
      <c r="CE22" s="11">
        <f t="shared" ca="1" si="70"/>
        <v>0</v>
      </c>
      <c r="CF22" s="11">
        <f t="shared" ca="1" si="71"/>
        <v>0</v>
      </c>
      <c r="CG22" s="11">
        <f t="shared" ca="1" si="72"/>
        <v>0</v>
      </c>
      <c r="CH22" s="11">
        <f t="shared" ca="1" si="73"/>
        <v>0</v>
      </c>
      <c r="CI22" s="11">
        <f t="shared" ca="1" si="74"/>
        <v>0</v>
      </c>
      <c r="CJ22" s="11">
        <f t="shared" ca="1" si="75"/>
        <v>0</v>
      </c>
      <c r="CK22" s="11">
        <f t="shared" ca="1" si="76"/>
        <v>0</v>
      </c>
      <c r="CL22" s="11">
        <f t="shared" ca="1" si="77"/>
        <v>0</v>
      </c>
      <c r="CM22" s="11">
        <f t="shared" ca="1" si="78"/>
        <v>0</v>
      </c>
      <c r="CN22" s="11">
        <f t="shared" ca="1" si="79"/>
        <v>0</v>
      </c>
      <c r="CO22" s="11">
        <f t="shared" ca="1" si="80"/>
        <v>0</v>
      </c>
      <c r="CP22" s="11">
        <f t="shared" ca="1" si="81"/>
        <v>0</v>
      </c>
    </row>
    <row r="23" spans="1:94" ht="14.45" x14ac:dyDescent="0.3">
      <c r="A23" t="str">
        <f t="shared" si="2"/>
        <v>FF</v>
      </c>
      <c r="B23">
        <f t="shared" si="3"/>
        <v>255</v>
      </c>
      <c r="C23" s="20">
        <v>11.541375999999994</v>
      </c>
      <c r="D23">
        <v>17</v>
      </c>
      <c r="E23" t="s">
        <v>2</v>
      </c>
      <c r="F23" s="13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5">
        <v>0</v>
      </c>
      <c r="O23" s="13">
        <v>0</v>
      </c>
      <c r="P23" s="14">
        <v>0</v>
      </c>
      <c r="Q23" s="14">
        <v>0</v>
      </c>
      <c r="R23" s="15">
        <v>0</v>
      </c>
      <c r="S23" s="13">
        <v>0</v>
      </c>
      <c r="T23" s="14">
        <v>0</v>
      </c>
      <c r="U23" s="14">
        <v>1</v>
      </c>
      <c r="V23" s="14">
        <v>0</v>
      </c>
      <c r="W23" s="14">
        <v>0</v>
      </c>
      <c r="X23" s="14">
        <v>1</v>
      </c>
      <c r="Y23" s="15">
        <v>1</v>
      </c>
      <c r="Z23" s="13">
        <v>0</v>
      </c>
      <c r="AA23" s="14">
        <v>0</v>
      </c>
      <c r="AB23" s="14">
        <v>0</v>
      </c>
      <c r="AC23" s="14">
        <v>0</v>
      </c>
      <c r="AD23" s="14">
        <v>0</v>
      </c>
      <c r="AE23" s="15">
        <v>0</v>
      </c>
      <c r="AF23" s="13">
        <v>1</v>
      </c>
      <c r="AG23" s="14">
        <v>0</v>
      </c>
      <c r="AH23" s="14">
        <v>0</v>
      </c>
      <c r="AI23" s="14">
        <v>0</v>
      </c>
      <c r="AJ23" s="14">
        <v>0</v>
      </c>
      <c r="AK23" s="14">
        <v>1</v>
      </c>
      <c r="AL23" s="14">
        <v>0</v>
      </c>
      <c r="AM23" s="14">
        <v>0</v>
      </c>
      <c r="AN23" s="14">
        <v>0</v>
      </c>
      <c r="AO23" s="14">
        <v>1</v>
      </c>
      <c r="AP23" s="14">
        <v>0</v>
      </c>
      <c r="AQ23" s="15">
        <v>0</v>
      </c>
      <c r="AR23" s="13">
        <v>0</v>
      </c>
      <c r="AS23" s="14">
        <v>0</v>
      </c>
      <c r="AT23" s="14">
        <v>0</v>
      </c>
      <c r="AU23" s="15">
        <v>0</v>
      </c>
      <c r="AW23">
        <f t="shared" si="46"/>
        <v>6</v>
      </c>
      <c r="AY23" s="12">
        <f t="shared" ca="1" si="47"/>
        <v>1.686093278847487E-201</v>
      </c>
      <c r="BA23" s="11">
        <f t="shared" ca="1" si="49"/>
        <v>0</v>
      </c>
      <c r="BB23" s="11">
        <f t="shared" ca="1" si="82"/>
        <v>0</v>
      </c>
      <c r="BC23" s="11">
        <f t="shared" ca="1" si="83"/>
        <v>0</v>
      </c>
      <c r="BD23" s="11">
        <f t="shared" ca="1" si="84"/>
        <v>0</v>
      </c>
      <c r="BE23" s="11">
        <f t="shared" ca="1" si="85"/>
        <v>0</v>
      </c>
      <c r="BF23" s="11">
        <f t="shared" ca="1" si="86"/>
        <v>0</v>
      </c>
      <c r="BG23" s="11">
        <f t="shared" ca="1" si="87"/>
        <v>0</v>
      </c>
      <c r="BH23" s="11">
        <f t="shared" ca="1" si="88"/>
        <v>0</v>
      </c>
      <c r="BI23" s="11">
        <f t="shared" ca="1" si="89"/>
        <v>0</v>
      </c>
      <c r="BJ23" s="11">
        <f t="shared" ca="1" si="90"/>
        <v>0</v>
      </c>
      <c r="BK23" s="11">
        <f t="shared" ca="1" si="50"/>
        <v>0</v>
      </c>
      <c r="BL23" s="11">
        <f t="shared" ca="1" si="51"/>
        <v>0</v>
      </c>
      <c r="BM23" s="11">
        <f t="shared" ca="1" si="52"/>
        <v>0</v>
      </c>
      <c r="BN23" s="11">
        <f t="shared" ca="1" si="53"/>
        <v>0</v>
      </c>
      <c r="BO23" s="11">
        <f t="shared" ca="1" si="54"/>
        <v>0</v>
      </c>
      <c r="BP23" s="11">
        <f t="shared" ca="1" si="55"/>
        <v>1.0116559673084922E-201</v>
      </c>
      <c r="BQ23" s="11">
        <f t="shared" ca="1" si="56"/>
        <v>0</v>
      </c>
      <c r="BR23" s="11">
        <f t="shared" ca="1" si="57"/>
        <v>0</v>
      </c>
      <c r="BS23" s="11">
        <f t="shared" ca="1" si="58"/>
        <v>1.0116559673084922E-201</v>
      </c>
      <c r="BT23" s="11">
        <f t="shared" ca="1" si="59"/>
        <v>1.0116559673084922E-201</v>
      </c>
      <c r="BU23" s="11">
        <f t="shared" ca="1" si="60"/>
        <v>0</v>
      </c>
      <c r="BV23" s="11">
        <f t="shared" ca="1" si="61"/>
        <v>0</v>
      </c>
      <c r="BW23" s="11">
        <f t="shared" ca="1" si="62"/>
        <v>0</v>
      </c>
      <c r="BX23" s="11">
        <f t="shared" ca="1" si="63"/>
        <v>0</v>
      </c>
      <c r="BY23" s="11">
        <f t="shared" ca="1" si="64"/>
        <v>0</v>
      </c>
      <c r="BZ23" s="11">
        <f t="shared" ca="1" si="65"/>
        <v>0</v>
      </c>
      <c r="CA23" s="11">
        <f t="shared" ca="1" si="66"/>
        <v>1.0116559673084922E-201</v>
      </c>
      <c r="CB23" s="11">
        <f t="shared" ca="1" si="67"/>
        <v>0</v>
      </c>
      <c r="CC23" s="11">
        <f t="shared" ca="1" si="68"/>
        <v>0</v>
      </c>
      <c r="CD23" s="11">
        <f t="shared" ca="1" si="69"/>
        <v>0</v>
      </c>
      <c r="CE23" s="11">
        <f t="shared" ca="1" si="70"/>
        <v>0</v>
      </c>
      <c r="CF23" s="11">
        <f t="shared" ca="1" si="71"/>
        <v>1.0116559673084922E-201</v>
      </c>
      <c r="CG23" s="11">
        <f t="shared" ca="1" si="72"/>
        <v>0</v>
      </c>
      <c r="CH23" s="11">
        <f t="shared" ca="1" si="73"/>
        <v>0</v>
      </c>
      <c r="CI23" s="11">
        <f t="shared" ca="1" si="74"/>
        <v>0</v>
      </c>
      <c r="CJ23" s="11">
        <f t="shared" ca="1" si="75"/>
        <v>1.0116559673084922E-201</v>
      </c>
      <c r="CK23" s="11">
        <f t="shared" ca="1" si="76"/>
        <v>0</v>
      </c>
      <c r="CL23" s="11">
        <f t="shared" ca="1" si="77"/>
        <v>0</v>
      </c>
      <c r="CM23" s="11">
        <f t="shared" ca="1" si="78"/>
        <v>0</v>
      </c>
      <c r="CN23" s="11">
        <f t="shared" ca="1" si="79"/>
        <v>0</v>
      </c>
      <c r="CO23" s="11">
        <f t="shared" ca="1" si="80"/>
        <v>0</v>
      </c>
      <c r="CP23" s="11">
        <f t="shared" ca="1" si="81"/>
        <v>0</v>
      </c>
    </row>
    <row r="24" spans="1:94" ht="14.45" x14ac:dyDescent="0.3">
      <c r="A24" t="str">
        <f t="shared" si="2"/>
        <v>C8</v>
      </c>
      <c r="B24">
        <f t="shared" si="3"/>
        <v>200</v>
      </c>
      <c r="C24" s="20">
        <v>9.967897599999997</v>
      </c>
      <c r="D24">
        <v>18</v>
      </c>
      <c r="E24" t="s">
        <v>2</v>
      </c>
      <c r="F24" s="13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5">
        <v>0</v>
      </c>
      <c r="O24" s="13">
        <v>0</v>
      </c>
      <c r="P24" s="14">
        <v>0</v>
      </c>
      <c r="Q24" s="14">
        <v>0</v>
      </c>
      <c r="R24" s="15">
        <v>0</v>
      </c>
      <c r="S24" s="13">
        <v>0</v>
      </c>
      <c r="T24" s="14">
        <v>1</v>
      </c>
      <c r="U24" s="14">
        <v>0</v>
      </c>
      <c r="V24" s="14">
        <v>0</v>
      </c>
      <c r="W24" s="14">
        <v>0</v>
      </c>
      <c r="X24" s="14">
        <v>1</v>
      </c>
      <c r="Y24" s="15">
        <v>1</v>
      </c>
      <c r="Z24" s="13">
        <v>1</v>
      </c>
      <c r="AA24" s="14">
        <v>0</v>
      </c>
      <c r="AB24" s="14">
        <v>0</v>
      </c>
      <c r="AC24" s="14">
        <v>0</v>
      </c>
      <c r="AD24" s="14">
        <v>0</v>
      </c>
      <c r="AE24" s="15">
        <v>0</v>
      </c>
      <c r="AF24" s="13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4">
        <v>0</v>
      </c>
      <c r="AP24" s="14">
        <v>0</v>
      </c>
      <c r="AQ24" s="15">
        <v>0</v>
      </c>
      <c r="AR24" s="13">
        <v>0</v>
      </c>
      <c r="AS24" s="14">
        <v>0</v>
      </c>
      <c r="AT24" s="14">
        <v>0</v>
      </c>
      <c r="AU24" s="15">
        <v>0</v>
      </c>
      <c r="AW24">
        <f t="shared" si="46"/>
        <v>4</v>
      </c>
      <c r="AY24" s="12">
        <f t="shared" ca="1" si="47"/>
        <v>1.686093278847487E-201</v>
      </c>
      <c r="BA24" s="11">
        <f t="shared" ca="1" si="49"/>
        <v>0</v>
      </c>
      <c r="BB24" s="11">
        <f t="shared" ca="1" si="82"/>
        <v>0</v>
      </c>
      <c r="BC24" s="11">
        <f t="shared" ca="1" si="82"/>
        <v>0</v>
      </c>
      <c r="BD24" s="11">
        <f t="shared" ca="1" si="82"/>
        <v>0</v>
      </c>
      <c r="BE24" s="11">
        <f t="shared" ca="1" si="82"/>
        <v>0</v>
      </c>
      <c r="BF24" s="11">
        <f t="shared" ca="1" si="82"/>
        <v>0</v>
      </c>
      <c r="BG24" s="11">
        <f t="shared" ca="1" si="82"/>
        <v>0</v>
      </c>
      <c r="BH24" s="11">
        <f t="shared" ca="1" si="82"/>
        <v>0</v>
      </c>
      <c r="BI24" s="11">
        <f t="shared" ca="1" si="82"/>
        <v>0</v>
      </c>
      <c r="BJ24" s="11">
        <f t="shared" ca="1" si="82"/>
        <v>0</v>
      </c>
      <c r="BK24" s="11">
        <f t="shared" ca="1" si="82"/>
        <v>0</v>
      </c>
      <c r="BL24" s="11">
        <f t="shared" ca="1" si="82"/>
        <v>0</v>
      </c>
      <c r="BM24" s="11">
        <f t="shared" ca="1" si="82"/>
        <v>0</v>
      </c>
      <c r="BN24" s="11">
        <f t="shared" ca="1" si="82"/>
        <v>0</v>
      </c>
      <c r="BO24" s="11">
        <f t="shared" ca="1" si="82"/>
        <v>1.0116559673084922E-201</v>
      </c>
      <c r="BP24" s="11">
        <f t="shared" ca="1" si="82"/>
        <v>0</v>
      </c>
      <c r="BQ24" s="11">
        <f t="shared" ca="1" si="82"/>
        <v>0</v>
      </c>
      <c r="BR24" s="11">
        <f t="shared" ca="1" si="57"/>
        <v>0</v>
      </c>
      <c r="BS24" s="11">
        <f t="shared" ca="1" si="57"/>
        <v>1.0116559673084922E-201</v>
      </c>
      <c r="BT24" s="11">
        <f t="shared" ca="1" si="57"/>
        <v>1.0116559673084922E-201</v>
      </c>
      <c r="BU24" s="11">
        <f t="shared" ca="1" si="57"/>
        <v>1.0116559673084922E-201</v>
      </c>
      <c r="BV24" s="11">
        <f t="shared" ca="1" si="57"/>
        <v>0</v>
      </c>
      <c r="BW24" s="11">
        <f t="shared" ca="1" si="57"/>
        <v>0</v>
      </c>
      <c r="BX24" s="11">
        <f t="shared" ca="1" si="57"/>
        <v>0</v>
      </c>
      <c r="BY24" s="11">
        <f t="shared" ca="1" si="57"/>
        <v>0</v>
      </c>
      <c r="BZ24" s="11">
        <f t="shared" ca="1" si="57"/>
        <v>0</v>
      </c>
      <c r="CA24" s="11">
        <f t="shared" ca="1" si="57"/>
        <v>0</v>
      </c>
      <c r="CB24" s="11">
        <f t="shared" ca="1" si="57"/>
        <v>0</v>
      </c>
      <c r="CC24" s="11">
        <f t="shared" ca="1" si="57"/>
        <v>0</v>
      </c>
      <c r="CD24" s="11">
        <f t="shared" ca="1" si="57"/>
        <v>0</v>
      </c>
      <c r="CE24" s="11">
        <f t="shared" ca="1" si="57"/>
        <v>0</v>
      </c>
      <c r="CF24" s="11">
        <f t="shared" ca="1" si="57"/>
        <v>0</v>
      </c>
      <c r="CG24" s="11">
        <f t="shared" ca="1" si="57"/>
        <v>0</v>
      </c>
      <c r="CH24" s="11">
        <f t="shared" ca="1" si="73"/>
        <v>0</v>
      </c>
      <c r="CI24" s="11">
        <f t="shared" ca="1" si="73"/>
        <v>0</v>
      </c>
      <c r="CJ24" s="11">
        <f t="shared" ca="1" si="73"/>
        <v>0</v>
      </c>
      <c r="CK24" s="11">
        <f t="shared" ca="1" si="73"/>
        <v>0</v>
      </c>
      <c r="CL24" s="11">
        <f t="shared" ca="1" si="73"/>
        <v>0</v>
      </c>
      <c r="CM24" s="11">
        <f t="shared" ca="1" si="73"/>
        <v>0</v>
      </c>
      <c r="CN24" s="11">
        <f t="shared" ca="1" si="73"/>
        <v>0</v>
      </c>
      <c r="CO24" s="11">
        <f t="shared" ca="1" si="73"/>
        <v>0</v>
      </c>
      <c r="CP24" s="11">
        <f t="shared" ca="1" si="73"/>
        <v>0</v>
      </c>
    </row>
    <row r="25" spans="1:94" ht="14.45" x14ac:dyDescent="0.3">
      <c r="A25" t="str">
        <f t="shared" si="2"/>
        <v>C0</v>
      </c>
      <c r="B25">
        <f t="shared" si="3"/>
        <v>192</v>
      </c>
      <c r="C25" s="20">
        <v>9.7305855999999977</v>
      </c>
      <c r="D25">
        <v>19</v>
      </c>
      <c r="E25" t="s">
        <v>2</v>
      </c>
      <c r="F25" s="13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5">
        <v>0</v>
      </c>
      <c r="O25" s="13">
        <v>0</v>
      </c>
      <c r="P25" s="14">
        <v>0</v>
      </c>
      <c r="Q25" s="14">
        <v>0</v>
      </c>
      <c r="R25" s="15">
        <v>0</v>
      </c>
      <c r="S25" s="13">
        <v>0</v>
      </c>
      <c r="T25" s="14">
        <v>1</v>
      </c>
      <c r="U25" s="14">
        <v>0</v>
      </c>
      <c r="V25" s="14">
        <v>1</v>
      </c>
      <c r="W25" s="14">
        <v>1</v>
      </c>
      <c r="X25" s="14">
        <v>0</v>
      </c>
      <c r="Y25" s="15">
        <v>1</v>
      </c>
      <c r="Z25" s="13">
        <v>0</v>
      </c>
      <c r="AA25" s="14">
        <v>0</v>
      </c>
      <c r="AB25" s="14">
        <v>0</v>
      </c>
      <c r="AC25" s="14">
        <v>0</v>
      </c>
      <c r="AD25" s="14">
        <v>0</v>
      </c>
      <c r="AE25" s="15">
        <v>0</v>
      </c>
      <c r="AF25" s="13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5">
        <v>0</v>
      </c>
      <c r="AR25" s="13">
        <v>0</v>
      </c>
      <c r="AS25" s="14">
        <v>0</v>
      </c>
      <c r="AT25" s="14">
        <v>0</v>
      </c>
      <c r="AU25" s="15">
        <v>0</v>
      </c>
      <c r="AW25">
        <f t="shared" si="46"/>
        <v>4</v>
      </c>
      <c r="AY25" s="12">
        <f t="shared" ca="1" si="47"/>
        <v>1.686093278847487E-201</v>
      </c>
      <c r="BA25" s="11">
        <f t="shared" ca="1" si="49"/>
        <v>0</v>
      </c>
      <c r="BB25" s="11">
        <f t="shared" ca="1" si="82"/>
        <v>0</v>
      </c>
      <c r="BC25" s="11">
        <f t="shared" ca="1" si="82"/>
        <v>0</v>
      </c>
      <c r="BD25" s="11">
        <f t="shared" ca="1" si="82"/>
        <v>0</v>
      </c>
      <c r="BE25" s="11">
        <f t="shared" ca="1" si="82"/>
        <v>0</v>
      </c>
      <c r="BF25" s="11">
        <f t="shared" ca="1" si="82"/>
        <v>0</v>
      </c>
      <c r="BG25" s="11">
        <f t="shared" ca="1" si="82"/>
        <v>0</v>
      </c>
      <c r="BH25" s="11">
        <f t="shared" ca="1" si="82"/>
        <v>0</v>
      </c>
      <c r="BI25" s="11">
        <f t="shared" ca="1" si="82"/>
        <v>0</v>
      </c>
      <c r="BJ25" s="11">
        <f t="shared" ca="1" si="82"/>
        <v>0</v>
      </c>
      <c r="BK25" s="11">
        <f t="shared" ca="1" si="82"/>
        <v>0</v>
      </c>
      <c r="BL25" s="11">
        <f t="shared" ca="1" si="82"/>
        <v>0</v>
      </c>
      <c r="BM25" s="11">
        <f t="shared" ca="1" si="82"/>
        <v>0</v>
      </c>
      <c r="BN25" s="11">
        <f t="shared" ca="1" si="82"/>
        <v>0</v>
      </c>
      <c r="BO25" s="11">
        <f t="shared" ca="1" si="82"/>
        <v>1.0116559673084922E-201</v>
      </c>
      <c r="BP25" s="11">
        <f t="shared" ca="1" si="82"/>
        <v>0</v>
      </c>
      <c r="BQ25" s="11">
        <f t="shared" ca="1" si="82"/>
        <v>1.0116559673084922E-201</v>
      </c>
      <c r="BR25" s="11">
        <f t="shared" ca="1" si="57"/>
        <v>1.0116559673084922E-201</v>
      </c>
      <c r="BS25" s="11">
        <f t="shared" ca="1" si="57"/>
        <v>0</v>
      </c>
      <c r="BT25" s="11">
        <f t="shared" ca="1" si="57"/>
        <v>1.0116559673084922E-201</v>
      </c>
      <c r="BU25" s="11">
        <f t="shared" ca="1" si="57"/>
        <v>0</v>
      </c>
      <c r="BV25" s="11">
        <f t="shared" ca="1" si="57"/>
        <v>0</v>
      </c>
      <c r="BW25" s="11">
        <f t="shared" ca="1" si="57"/>
        <v>0</v>
      </c>
      <c r="BX25" s="11">
        <f t="shared" ca="1" si="57"/>
        <v>0</v>
      </c>
      <c r="BY25" s="11">
        <f t="shared" ca="1" si="57"/>
        <v>0</v>
      </c>
      <c r="BZ25" s="11">
        <f t="shared" ca="1" si="57"/>
        <v>0</v>
      </c>
      <c r="CA25" s="11">
        <f t="shared" ca="1" si="57"/>
        <v>0</v>
      </c>
      <c r="CB25" s="11">
        <f t="shared" ca="1" si="57"/>
        <v>0</v>
      </c>
      <c r="CC25" s="11">
        <f t="shared" ca="1" si="57"/>
        <v>0</v>
      </c>
      <c r="CD25" s="11">
        <f t="shared" ca="1" si="57"/>
        <v>0</v>
      </c>
      <c r="CE25" s="11">
        <f t="shared" ca="1" si="57"/>
        <v>0</v>
      </c>
      <c r="CF25" s="11">
        <f t="shared" ca="1" si="57"/>
        <v>0</v>
      </c>
      <c r="CG25" s="11">
        <f t="shared" ca="1" si="57"/>
        <v>0</v>
      </c>
      <c r="CH25" s="11">
        <f t="shared" ca="1" si="73"/>
        <v>0</v>
      </c>
      <c r="CI25" s="11">
        <f t="shared" ca="1" si="73"/>
        <v>0</v>
      </c>
      <c r="CJ25" s="11">
        <f t="shared" ca="1" si="73"/>
        <v>0</v>
      </c>
      <c r="CK25" s="11">
        <f t="shared" ca="1" si="73"/>
        <v>0</v>
      </c>
      <c r="CL25" s="11">
        <f t="shared" ca="1" si="73"/>
        <v>0</v>
      </c>
      <c r="CM25" s="11">
        <f t="shared" ca="1" si="73"/>
        <v>0</v>
      </c>
      <c r="CN25" s="11">
        <f t="shared" ca="1" si="73"/>
        <v>0</v>
      </c>
      <c r="CO25" s="11">
        <f t="shared" ca="1" si="73"/>
        <v>0</v>
      </c>
      <c r="CP25" s="11">
        <f t="shared" ca="1" si="73"/>
        <v>0</v>
      </c>
    </row>
    <row r="26" spans="1:94" ht="14.45" x14ac:dyDescent="0.3">
      <c r="A26" t="str">
        <f t="shared" si="2"/>
        <v>EE</v>
      </c>
      <c r="B26">
        <f t="shared" si="3"/>
        <v>238</v>
      </c>
      <c r="C26" s="20">
        <v>11.041407999999995</v>
      </c>
      <c r="D26">
        <v>20</v>
      </c>
      <c r="E26" t="s">
        <v>2</v>
      </c>
      <c r="F26" s="13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5">
        <v>0</v>
      </c>
      <c r="O26" s="13">
        <v>0</v>
      </c>
      <c r="P26" s="14">
        <v>0</v>
      </c>
      <c r="Q26" s="14">
        <v>0</v>
      </c>
      <c r="R26" s="15">
        <v>0</v>
      </c>
      <c r="S26" s="13">
        <v>0</v>
      </c>
      <c r="T26" s="14">
        <v>0</v>
      </c>
      <c r="U26" s="14">
        <v>0</v>
      </c>
      <c r="V26" s="14">
        <v>1</v>
      </c>
      <c r="W26" s="14">
        <v>1</v>
      </c>
      <c r="X26" s="14">
        <v>1</v>
      </c>
      <c r="Y26" s="15">
        <v>0</v>
      </c>
      <c r="Z26" s="13">
        <v>1</v>
      </c>
      <c r="AA26" s="14">
        <v>1</v>
      </c>
      <c r="AB26" s="14">
        <v>0</v>
      </c>
      <c r="AC26" s="14">
        <v>0</v>
      </c>
      <c r="AD26" s="14">
        <v>0</v>
      </c>
      <c r="AE26" s="15">
        <v>0</v>
      </c>
      <c r="AF26" s="13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1</v>
      </c>
      <c r="AP26" s="14">
        <v>0</v>
      </c>
      <c r="AQ26" s="15">
        <v>0</v>
      </c>
      <c r="AR26" s="13">
        <v>0</v>
      </c>
      <c r="AS26" s="14">
        <v>0</v>
      </c>
      <c r="AT26" s="14">
        <v>0</v>
      </c>
      <c r="AU26" s="15">
        <v>0</v>
      </c>
      <c r="AW26">
        <f t="shared" si="46"/>
        <v>6</v>
      </c>
      <c r="AY26" s="12">
        <f t="shared" ca="1" si="47"/>
        <v>1.686093278847487E-201</v>
      </c>
      <c r="BA26" s="11">
        <f t="shared" ca="1" si="49"/>
        <v>0</v>
      </c>
      <c r="BB26" s="11">
        <f t="shared" ca="1" si="82"/>
        <v>0</v>
      </c>
      <c r="BC26" s="11">
        <f t="shared" ca="1" si="82"/>
        <v>0</v>
      </c>
      <c r="BD26" s="11">
        <f t="shared" ca="1" si="82"/>
        <v>0</v>
      </c>
      <c r="BE26" s="11">
        <f t="shared" ca="1" si="82"/>
        <v>0</v>
      </c>
      <c r="BF26" s="11">
        <f t="shared" ca="1" si="82"/>
        <v>0</v>
      </c>
      <c r="BG26" s="11">
        <f t="shared" ca="1" si="82"/>
        <v>0</v>
      </c>
      <c r="BH26" s="11">
        <f t="shared" ca="1" si="82"/>
        <v>0</v>
      </c>
      <c r="BI26" s="11">
        <f t="shared" ca="1" si="82"/>
        <v>0</v>
      </c>
      <c r="BJ26" s="11">
        <f t="shared" ca="1" si="82"/>
        <v>0</v>
      </c>
      <c r="BK26" s="11">
        <f t="shared" ca="1" si="82"/>
        <v>0</v>
      </c>
      <c r="BL26" s="11">
        <f t="shared" ca="1" si="82"/>
        <v>0</v>
      </c>
      <c r="BM26" s="11">
        <f t="shared" ca="1" si="82"/>
        <v>0</v>
      </c>
      <c r="BN26" s="11">
        <f t="shared" ca="1" si="82"/>
        <v>0</v>
      </c>
      <c r="BO26" s="11">
        <f t="shared" ca="1" si="82"/>
        <v>0</v>
      </c>
      <c r="BP26" s="11">
        <f t="shared" ca="1" si="82"/>
        <v>0</v>
      </c>
      <c r="BQ26" s="11">
        <f t="shared" ca="1" si="82"/>
        <v>1.0116559673084922E-201</v>
      </c>
      <c r="BR26" s="11">
        <f t="shared" ca="1" si="57"/>
        <v>1.0116559673084922E-201</v>
      </c>
      <c r="BS26" s="11">
        <f t="shared" ca="1" si="57"/>
        <v>1.0116559673084922E-201</v>
      </c>
      <c r="BT26" s="11">
        <f t="shared" ca="1" si="57"/>
        <v>0</v>
      </c>
      <c r="BU26" s="11">
        <f t="shared" ca="1" si="57"/>
        <v>1.0116559673084922E-201</v>
      </c>
      <c r="BV26" s="11">
        <f t="shared" ca="1" si="57"/>
        <v>1.0116559673084922E-201</v>
      </c>
      <c r="BW26" s="11">
        <f t="shared" ca="1" si="57"/>
        <v>0</v>
      </c>
      <c r="BX26" s="11">
        <f t="shared" ca="1" si="57"/>
        <v>0</v>
      </c>
      <c r="BY26" s="11">
        <f t="shared" ca="1" si="57"/>
        <v>0</v>
      </c>
      <c r="BZ26" s="11">
        <f t="shared" ca="1" si="57"/>
        <v>0</v>
      </c>
      <c r="CA26" s="11">
        <f t="shared" ca="1" si="57"/>
        <v>0</v>
      </c>
      <c r="CB26" s="11">
        <f t="shared" ca="1" si="57"/>
        <v>0</v>
      </c>
      <c r="CC26" s="11">
        <f t="shared" ca="1" si="57"/>
        <v>0</v>
      </c>
      <c r="CD26" s="11">
        <f t="shared" ca="1" si="57"/>
        <v>0</v>
      </c>
      <c r="CE26" s="11">
        <f t="shared" ca="1" si="57"/>
        <v>0</v>
      </c>
      <c r="CF26" s="11">
        <f t="shared" ca="1" si="57"/>
        <v>0</v>
      </c>
      <c r="CG26" s="11">
        <f t="shared" ca="1" si="57"/>
        <v>0</v>
      </c>
      <c r="CH26" s="11">
        <f t="shared" ca="1" si="73"/>
        <v>0</v>
      </c>
      <c r="CI26" s="11">
        <f t="shared" ca="1" si="73"/>
        <v>0</v>
      </c>
      <c r="CJ26" s="11">
        <f t="shared" ca="1" si="73"/>
        <v>1.0116559673084922E-201</v>
      </c>
      <c r="CK26" s="11">
        <f t="shared" ca="1" si="73"/>
        <v>0</v>
      </c>
      <c r="CL26" s="11">
        <f t="shared" ca="1" si="73"/>
        <v>0</v>
      </c>
      <c r="CM26" s="11">
        <f t="shared" ca="1" si="73"/>
        <v>0</v>
      </c>
      <c r="CN26" s="11">
        <f t="shared" ca="1" si="73"/>
        <v>0</v>
      </c>
      <c r="CO26" s="11">
        <f t="shared" ca="1" si="73"/>
        <v>0</v>
      </c>
      <c r="CP26" s="11">
        <f t="shared" ca="1" si="73"/>
        <v>0</v>
      </c>
    </row>
    <row r="27" spans="1:94" ht="14.45" x14ac:dyDescent="0.3">
      <c r="A27" t="str">
        <f t="shared" si="2"/>
        <v>E5</v>
      </c>
      <c r="B27">
        <f t="shared" si="3"/>
        <v>229</v>
      </c>
      <c r="C27" s="20">
        <v>10.796953599999997</v>
      </c>
      <c r="D27">
        <v>21</v>
      </c>
      <c r="E27" t="s">
        <v>3</v>
      </c>
      <c r="F27" s="13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5">
        <v>0</v>
      </c>
      <c r="O27" s="13">
        <v>0</v>
      </c>
      <c r="P27" s="14">
        <v>0</v>
      </c>
      <c r="Q27" s="14">
        <v>1</v>
      </c>
      <c r="R27" s="15">
        <v>0</v>
      </c>
      <c r="S27" s="13">
        <v>0</v>
      </c>
      <c r="T27" s="14">
        <v>0</v>
      </c>
      <c r="U27" s="14">
        <v>0</v>
      </c>
      <c r="V27" s="14">
        <v>0</v>
      </c>
      <c r="W27" s="14">
        <v>1</v>
      </c>
      <c r="X27" s="14">
        <v>0</v>
      </c>
      <c r="Y27" s="15">
        <v>1</v>
      </c>
      <c r="Z27" s="13">
        <v>0</v>
      </c>
      <c r="AA27" s="14">
        <v>1</v>
      </c>
      <c r="AB27" s="14">
        <v>1</v>
      </c>
      <c r="AC27" s="14">
        <v>1</v>
      </c>
      <c r="AD27" s="14">
        <v>0</v>
      </c>
      <c r="AE27" s="15">
        <v>0</v>
      </c>
      <c r="AF27" s="13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0</v>
      </c>
      <c r="AQ27" s="15">
        <v>0</v>
      </c>
      <c r="AR27" s="13">
        <v>0</v>
      </c>
      <c r="AS27" s="14">
        <v>0</v>
      </c>
      <c r="AT27" s="14">
        <v>0</v>
      </c>
      <c r="AU27" s="15">
        <v>0</v>
      </c>
      <c r="AW27">
        <f t="shared" si="46"/>
        <v>6</v>
      </c>
      <c r="AY27" s="12">
        <f t="shared" ca="1" si="47"/>
        <v>1.686093278847487E-201</v>
      </c>
      <c r="BA27" s="11">
        <f t="shared" ca="1" si="49"/>
        <v>0</v>
      </c>
      <c r="BB27" s="11">
        <f t="shared" ca="1" si="82"/>
        <v>0</v>
      </c>
      <c r="BC27" s="11">
        <f t="shared" ca="1" si="82"/>
        <v>0</v>
      </c>
      <c r="BD27" s="11">
        <f t="shared" ca="1" si="82"/>
        <v>0</v>
      </c>
      <c r="BE27" s="11">
        <f t="shared" ca="1" si="82"/>
        <v>0</v>
      </c>
      <c r="BF27" s="11">
        <f t="shared" ca="1" si="82"/>
        <v>0</v>
      </c>
      <c r="BG27" s="11">
        <f t="shared" ca="1" si="82"/>
        <v>0</v>
      </c>
      <c r="BH27" s="11">
        <f t="shared" ca="1" si="82"/>
        <v>0</v>
      </c>
      <c r="BI27" s="11">
        <f t="shared" ca="1" si="82"/>
        <v>0</v>
      </c>
      <c r="BJ27" s="11">
        <f t="shared" ca="1" si="82"/>
        <v>0</v>
      </c>
      <c r="BK27" s="11">
        <f t="shared" ca="1" si="82"/>
        <v>0</v>
      </c>
      <c r="BL27" s="11">
        <f t="shared" ca="1" si="82"/>
        <v>1.0116559673084922E-201</v>
      </c>
      <c r="BM27" s="11">
        <f t="shared" ca="1" si="82"/>
        <v>0</v>
      </c>
      <c r="BN27" s="11">
        <f t="shared" ca="1" si="82"/>
        <v>0</v>
      </c>
      <c r="BO27" s="11">
        <f t="shared" ca="1" si="82"/>
        <v>0</v>
      </c>
      <c r="BP27" s="11">
        <f t="shared" ca="1" si="82"/>
        <v>0</v>
      </c>
      <c r="BQ27" s="11">
        <f t="shared" ca="1" si="82"/>
        <v>0</v>
      </c>
      <c r="BR27" s="11">
        <f t="shared" ca="1" si="57"/>
        <v>1.0116559673084922E-201</v>
      </c>
      <c r="BS27" s="11">
        <f t="shared" ca="1" si="57"/>
        <v>0</v>
      </c>
      <c r="BT27" s="11">
        <f t="shared" ca="1" si="57"/>
        <v>1.0116559673084922E-201</v>
      </c>
      <c r="BU27" s="11">
        <f t="shared" ca="1" si="57"/>
        <v>0</v>
      </c>
      <c r="BV27" s="11">
        <f t="shared" ca="1" si="57"/>
        <v>1.0116559673084922E-201</v>
      </c>
      <c r="BW27" s="11">
        <f t="shared" ca="1" si="57"/>
        <v>1.0116559673084922E-201</v>
      </c>
      <c r="BX27" s="11">
        <f t="shared" ca="1" si="57"/>
        <v>1.0116559673084922E-201</v>
      </c>
      <c r="BY27" s="11">
        <f t="shared" ca="1" si="57"/>
        <v>0</v>
      </c>
      <c r="BZ27" s="11">
        <f t="shared" ca="1" si="57"/>
        <v>0</v>
      </c>
      <c r="CA27" s="11">
        <f t="shared" ca="1" si="57"/>
        <v>0</v>
      </c>
      <c r="CB27" s="11">
        <f t="shared" ca="1" si="57"/>
        <v>0</v>
      </c>
      <c r="CC27" s="11">
        <f t="shared" ca="1" si="57"/>
        <v>0</v>
      </c>
      <c r="CD27" s="11">
        <f t="shared" ca="1" si="57"/>
        <v>0</v>
      </c>
      <c r="CE27" s="11">
        <f t="shared" ca="1" si="57"/>
        <v>0</v>
      </c>
      <c r="CF27" s="11">
        <f t="shared" ca="1" si="57"/>
        <v>0</v>
      </c>
      <c r="CG27" s="11">
        <f t="shared" ca="1" si="57"/>
        <v>0</v>
      </c>
      <c r="CH27" s="11">
        <f t="shared" ca="1" si="73"/>
        <v>0</v>
      </c>
      <c r="CI27" s="11">
        <f t="shared" ca="1" si="73"/>
        <v>0</v>
      </c>
      <c r="CJ27" s="11">
        <f t="shared" ca="1" si="73"/>
        <v>0</v>
      </c>
      <c r="CK27" s="11">
        <f t="shared" ca="1" si="73"/>
        <v>0</v>
      </c>
      <c r="CL27" s="11">
        <f t="shared" ca="1" si="73"/>
        <v>0</v>
      </c>
      <c r="CM27" s="11">
        <f t="shared" ca="1" si="73"/>
        <v>0</v>
      </c>
      <c r="CN27" s="11">
        <f t="shared" ca="1" si="73"/>
        <v>0</v>
      </c>
      <c r="CO27" s="11">
        <f t="shared" ca="1" si="73"/>
        <v>0</v>
      </c>
      <c r="CP27" s="11">
        <f t="shared" ca="1" si="73"/>
        <v>0</v>
      </c>
    </row>
    <row r="28" spans="1:94" ht="14.45" x14ac:dyDescent="0.3">
      <c r="A28" t="str">
        <f t="shared" si="2"/>
        <v>C9</v>
      </c>
      <c r="B28">
        <f t="shared" si="3"/>
        <v>201</v>
      </c>
      <c r="C28" s="20">
        <v>9.9957759999999958</v>
      </c>
      <c r="D28">
        <v>22</v>
      </c>
      <c r="E28" t="s">
        <v>3</v>
      </c>
      <c r="F28" s="13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5">
        <v>0</v>
      </c>
      <c r="O28" s="13">
        <v>0</v>
      </c>
      <c r="P28" s="14">
        <v>0</v>
      </c>
      <c r="Q28" s="14">
        <v>0</v>
      </c>
      <c r="R28" s="15">
        <v>0</v>
      </c>
      <c r="S28" s="13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5">
        <v>1</v>
      </c>
      <c r="Z28" s="13">
        <v>1</v>
      </c>
      <c r="AA28" s="14">
        <v>0</v>
      </c>
      <c r="AB28" s="14">
        <v>1</v>
      </c>
      <c r="AC28" s="14">
        <v>0</v>
      </c>
      <c r="AD28" s="14">
        <v>0</v>
      </c>
      <c r="AE28" s="15">
        <v>0</v>
      </c>
      <c r="AF28" s="13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1</v>
      </c>
      <c r="AP28" s="14">
        <v>0</v>
      </c>
      <c r="AQ28" s="15">
        <v>0</v>
      </c>
      <c r="AR28" s="13">
        <v>0</v>
      </c>
      <c r="AS28" s="14">
        <v>0</v>
      </c>
      <c r="AT28" s="14">
        <v>0</v>
      </c>
      <c r="AU28" s="15">
        <v>0</v>
      </c>
      <c r="AW28">
        <f t="shared" si="46"/>
        <v>4</v>
      </c>
      <c r="AY28" s="12">
        <f t="shared" ca="1" si="47"/>
        <v>1.686093278847487E-201</v>
      </c>
      <c r="BA28" s="11">
        <f t="shared" ca="1" si="49"/>
        <v>0</v>
      </c>
      <c r="BB28" s="11">
        <f t="shared" ca="1" si="82"/>
        <v>0</v>
      </c>
      <c r="BC28" s="11">
        <f t="shared" ca="1" si="82"/>
        <v>0</v>
      </c>
      <c r="BD28" s="11">
        <f t="shared" ca="1" si="82"/>
        <v>0</v>
      </c>
      <c r="BE28" s="11">
        <f t="shared" ca="1" si="82"/>
        <v>0</v>
      </c>
      <c r="BF28" s="11">
        <f t="shared" ca="1" si="82"/>
        <v>0</v>
      </c>
      <c r="BG28" s="11">
        <f t="shared" ca="1" si="82"/>
        <v>0</v>
      </c>
      <c r="BH28" s="11">
        <f t="shared" ca="1" si="82"/>
        <v>0</v>
      </c>
      <c r="BI28" s="11">
        <f t="shared" ca="1" si="82"/>
        <v>0</v>
      </c>
      <c r="BJ28" s="11">
        <f t="shared" ca="1" si="82"/>
        <v>0</v>
      </c>
      <c r="BK28" s="11">
        <f t="shared" ca="1" si="82"/>
        <v>0</v>
      </c>
      <c r="BL28" s="11">
        <f t="shared" ca="1" si="82"/>
        <v>0</v>
      </c>
      <c r="BM28" s="11">
        <f t="shared" ca="1" si="82"/>
        <v>0</v>
      </c>
      <c r="BN28" s="11">
        <f t="shared" ca="1" si="82"/>
        <v>0</v>
      </c>
      <c r="BO28" s="11">
        <f t="shared" ca="1" si="82"/>
        <v>0</v>
      </c>
      <c r="BP28" s="11">
        <f t="shared" ca="1" si="82"/>
        <v>0</v>
      </c>
      <c r="BQ28" s="11">
        <f t="shared" ca="1" si="82"/>
        <v>0</v>
      </c>
      <c r="BR28" s="11">
        <f t="shared" ca="1" si="57"/>
        <v>0</v>
      </c>
      <c r="BS28" s="11">
        <f t="shared" ca="1" si="57"/>
        <v>0</v>
      </c>
      <c r="BT28" s="11">
        <f t="shared" ca="1" si="57"/>
        <v>1.0116559673084922E-201</v>
      </c>
      <c r="BU28" s="11">
        <f t="shared" ca="1" si="57"/>
        <v>1.0116559673084922E-201</v>
      </c>
      <c r="BV28" s="11">
        <f t="shared" ca="1" si="57"/>
        <v>0</v>
      </c>
      <c r="BW28" s="11">
        <f t="shared" ca="1" si="57"/>
        <v>1.0116559673084922E-201</v>
      </c>
      <c r="BX28" s="11">
        <f t="shared" ca="1" si="57"/>
        <v>0</v>
      </c>
      <c r="BY28" s="11">
        <f t="shared" ca="1" si="57"/>
        <v>0</v>
      </c>
      <c r="BZ28" s="11">
        <f t="shared" ca="1" si="57"/>
        <v>0</v>
      </c>
      <c r="CA28" s="11">
        <f t="shared" ca="1" si="57"/>
        <v>0</v>
      </c>
      <c r="CB28" s="11">
        <f t="shared" ca="1" si="57"/>
        <v>0</v>
      </c>
      <c r="CC28" s="11">
        <f t="shared" ca="1" si="57"/>
        <v>0</v>
      </c>
      <c r="CD28" s="11">
        <f t="shared" ca="1" si="57"/>
        <v>0</v>
      </c>
      <c r="CE28" s="11">
        <f t="shared" ca="1" si="57"/>
        <v>0</v>
      </c>
      <c r="CF28" s="11">
        <f t="shared" ca="1" si="57"/>
        <v>0</v>
      </c>
      <c r="CG28" s="11">
        <f t="shared" ca="1" si="57"/>
        <v>0</v>
      </c>
      <c r="CH28" s="11">
        <f t="shared" ca="1" si="73"/>
        <v>0</v>
      </c>
      <c r="CI28" s="11">
        <f t="shared" ca="1" si="73"/>
        <v>0</v>
      </c>
      <c r="CJ28" s="11">
        <f t="shared" ca="1" si="73"/>
        <v>1.0116559673084922E-201</v>
      </c>
      <c r="CK28" s="11">
        <f t="shared" ca="1" si="73"/>
        <v>0</v>
      </c>
      <c r="CL28" s="11">
        <f t="shared" ca="1" si="73"/>
        <v>0</v>
      </c>
      <c r="CM28" s="11">
        <f t="shared" ca="1" si="73"/>
        <v>0</v>
      </c>
      <c r="CN28" s="11">
        <f t="shared" ca="1" si="73"/>
        <v>0</v>
      </c>
      <c r="CO28" s="11">
        <f t="shared" ca="1" si="73"/>
        <v>0</v>
      </c>
      <c r="CP28" s="11">
        <f t="shared" ca="1" si="73"/>
        <v>0</v>
      </c>
    </row>
    <row r="29" spans="1:94" ht="14.45" x14ac:dyDescent="0.3">
      <c r="A29" t="str">
        <f t="shared" si="2"/>
        <v>D5</v>
      </c>
      <c r="B29">
        <f t="shared" si="3"/>
        <v>213</v>
      </c>
      <c r="C29" s="20">
        <v>10.331775999999994</v>
      </c>
      <c r="D29">
        <v>23</v>
      </c>
      <c r="E29" t="s">
        <v>3</v>
      </c>
      <c r="F29" s="13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5">
        <v>0</v>
      </c>
      <c r="O29" s="13">
        <v>0</v>
      </c>
      <c r="P29" s="14">
        <v>0</v>
      </c>
      <c r="Q29" s="14">
        <v>0</v>
      </c>
      <c r="R29" s="15">
        <v>0</v>
      </c>
      <c r="S29" s="13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5">
        <v>0</v>
      </c>
      <c r="Z29" s="13">
        <v>1</v>
      </c>
      <c r="AA29" s="14">
        <v>1</v>
      </c>
      <c r="AB29" s="14">
        <v>0</v>
      </c>
      <c r="AC29" s="14">
        <v>1</v>
      </c>
      <c r="AD29" s="14">
        <v>1</v>
      </c>
      <c r="AE29" s="15">
        <v>1</v>
      </c>
      <c r="AF29" s="13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0</v>
      </c>
      <c r="AN29" s="14">
        <v>0</v>
      </c>
      <c r="AO29" s="14">
        <v>1</v>
      </c>
      <c r="AP29" s="14">
        <v>0</v>
      </c>
      <c r="AQ29" s="15">
        <v>0</v>
      </c>
      <c r="AR29" s="13">
        <v>0</v>
      </c>
      <c r="AS29" s="14">
        <v>0</v>
      </c>
      <c r="AT29" s="14">
        <v>0</v>
      </c>
      <c r="AU29" s="15">
        <v>0</v>
      </c>
      <c r="AW29">
        <f t="shared" si="46"/>
        <v>6</v>
      </c>
      <c r="AY29" s="12">
        <f t="shared" ca="1" si="47"/>
        <v>1.686093278847487E-201</v>
      </c>
      <c r="BA29" s="11">
        <f t="shared" ca="1" si="49"/>
        <v>0</v>
      </c>
      <c r="BB29" s="11">
        <f t="shared" ca="1" si="82"/>
        <v>0</v>
      </c>
      <c r="BC29" s="11">
        <f t="shared" ca="1" si="82"/>
        <v>0</v>
      </c>
      <c r="BD29" s="11">
        <f t="shared" ca="1" si="82"/>
        <v>0</v>
      </c>
      <c r="BE29" s="11">
        <f t="shared" ca="1" si="82"/>
        <v>0</v>
      </c>
      <c r="BF29" s="11">
        <f t="shared" ca="1" si="82"/>
        <v>0</v>
      </c>
      <c r="BG29" s="11">
        <f t="shared" ca="1" si="82"/>
        <v>0</v>
      </c>
      <c r="BH29" s="11">
        <f t="shared" ca="1" si="82"/>
        <v>0</v>
      </c>
      <c r="BI29" s="11">
        <f t="shared" ca="1" si="82"/>
        <v>0</v>
      </c>
      <c r="BJ29" s="11">
        <f t="shared" ca="1" si="82"/>
        <v>0</v>
      </c>
      <c r="BK29" s="11">
        <f t="shared" ca="1" si="82"/>
        <v>0</v>
      </c>
      <c r="BL29" s="11">
        <f t="shared" ca="1" si="82"/>
        <v>0</v>
      </c>
      <c r="BM29" s="11">
        <f t="shared" ca="1" si="82"/>
        <v>0</v>
      </c>
      <c r="BN29" s="11">
        <f t="shared" ca="1" si="82"/>
        <v>0</v>
      </c>
      <c r="BO29" s="11">
        <f t="shared" ca="1" si="82"/>
        <v>0</v>
      </c>
      <c r="BP29" s="11">
        <f t="shared" ca="1" si="82"/>
        <v>0</v>
      </c>
      <c r="BQ29" s="11">
        <f t="shared" ca="1" si="82"/>
        <v>0</v>
      </c>
      <c r="BR29" s="11">
        <f t="shared" ca="1" si="57"/>
        <v>0</v>
      </c>
      <c r="BS29" s="11">
        <f t="shared" ca="1" si="57"/>
        <v>0</v>
      </c>
      <c r="BT29" s="11">
        <f t="shared" ca="1" si="57"/>
        <v>0</v>
      </c>
      <c r="BU29" s="11">
        <f t="shared" ca="1" si="57"/>
        <v>1.0116559673084922E-201</v>
      </c>
      <c r="BV29" s="11">
        <f t="shared" ca="1" si="57"/>
        <v>1.0116559673084922E-201</v>
      </c>
      <c r="BW29" s="11">
        <f t="shared" ca="1" si="57"/>
        <v>0</v>
      </c>
      <c r="BX29" s="11">
        <f t="shared" ca="1" si="57"/>
        <v>1.0116559673084922E-201</v>
      </c>
      <c r="BY29" s="11">
        <f t="shared" ca="1" si="57"/>
        <v>1.0116559673084922E-201</v>
      </c>
      <c r="BZ29" s="11">
        <f t="shared" ca="1" si="57"/>
        <v>1.0116559673084922E-201</v>
      </c>
      <c r="CA29" s="11">
        <f t="shared" ca="1" si="57"/>
        <v>0</v>
      </c>
      <c r="CB29" s="11">
        <f t="shared" ca="1" si="57"/>
        <v>0</v>
      </c>
      <c r="CC29" s="11">
        <f t="shared" ca="1" si="57"/>
        <v>0</v>
      </c>
      <c r="CD29" s="11">
        <f t="shared" ca="1" si="57"/>
        <v>0</v>
      </c>
      <c r="CE29" s="11">
        <f t="shared" ca="1" si="57"/>
        <v>0</v>
      </c>
      <c r="CF29" s="11">
        <f t="shared" ca="1" si="57"/>
        <v>0</v>
      </c>
      <c r="CG29" s="11">
        <f t="shared" ca="1" si="57"/>
        <v>0</v>
      </c>
      <c r="CH29" s="11">
        <f t="shared" ca="1" si="73"/>
        <v>0</v>
      </c>
      <c r="CI29" s="11">
        <f t="shared" ca="1" si="73"/>
        <v>0</v>
      </c>
      <c r="CJ29" s="11">
        <f t="shared" ca="1" si="73"/>
        <v>1.0116559673084922E-201</v>
      </c>
      <c r="CK29" s="11">
        <f t="shared" ca="1" si="73"/>
        <v>0</v>
      </c>
      <c r="CL29" s="11">
        <f t="shared" ca="1" si="73"/>
        <v>0</v>
      </c>
      <c r="CM29" s="11">
        <f t="shared" ca="1" si="73"/>
        <v>0</v>
      </c>
      <c r="CN29" s="11">
        <f t="shared" ca="1" si="73"/>
        <v>0</v>
      </c>
      <c r="CO29" s="11">
        <f t="shared" ca="1" si="73"/>
        <v>0</v>
      </c>
      <c r="CP29" s="11">
        <f t="shared" ca="1" si="73"/>
        <v>0</v>
      </c>
    </row>
    <row r="30" spans="1:94" ht="14.45" x14ac:dyDescent="0.3">
      <c r="A30" t="str">
        <f t="shared" si="2"/>
        <v>94</v>
      </c>
      <c r="B30">
        <f t="shared" si="3"/>
        <v>148</v>
      </c>
      <c r="C30" s="20">
        <v>8.4547071999999979</v>
      </c>
      <c r="D30">
        <v>24</v>
      </c>
      <c r="E30" t="s">
        <v>3</v>
      </c>
      <c r="F30" s="13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5">
        <v>0</v>
      </c>
      <c r="O30" s="13">
        <v>0</v>
      </c>
      <c r="P30" s="14">
        <v>0</v>
      </c>
      <c r="Q30" s="14">
        <v>0</v>
      </c>
      <c r="R30" s="15">
        <v>0</v>
      </c>
      <c r="S30" s="13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5">
        <v>0</v>
      </c>
      <c r="Z30" s="13">
        <v>1</v>
      </c>
      <c r="AA30" s="14">
        <v>0</v>
      </c>
      <c r="AB30" s="14">
        <v>1</v>
      </c>
      <c r="AC30" s="14">
        <v>0</v>
      </c>
      <c r="AD30" s="14">
        <v>1</v>
      </c>
      <c r="AE30" s="15">
        <v>0</v>
      </c>
      <c r="AF30" s="13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4">
        <v>0</v>
      </c>
      <c r="AP30" s="14">
        <v>0</v>
      </c>
      <c r="AQ30" s="15">
        <v>0</v>
      </c>
      <c r="AR30" s="13">
        <v>0</v>
      </c>
      <c r="AS30" s="14">
        <v>0</v>
      </c>
      <c r="AT30" s="14">
        <v>0</v>
      </c>
      <c r="AU30" s="15">
        <v>0</v>
      </c>
      <c r="AW30">
        <f t="shared" si="46"/>
        <v>3</v>
      </c>
      <c r="AY30" s="12">
        <f t="shared" ca="1" si="47"/>
        <v>1.686093278847487E-201</v>
      </c>
      <c r="BA30" s="11">
        <f t="shared" ca="1" si="49"/>
        <v>0</v>
      </c>
      <c r="BB30" s="11">
        <f t="shared" ca="1" si="82"/>
        <v>0</v>
      </c>
      <c r="BC30" s="11">
        <f t="shared" ca="1" si="82"/>
        <v>0</v>
      </c>
      <c r="BD30" s="11">
        <f t="shared" ca="1" si="82"/>
        <v>0</v>
      </c>
      <c r="BE30" s="11">
        <f t="shared" ca="1" si="82"/>
        <v>0</v>
      </c>
      <c r="BF30" s="11">
        <f t="shared" ca="1" si="82"/>
        <v>0</v>
      </c>
      <c r="BG30" s="11">
        <f t="shared" ca="1" si="82"/>
        <v>0</v>
      </c>
      <c r="BH30" s="11">
        <f t="shared" ca="1" si="82"/>
        <v>0</v>
      </c>
      <c r="BI30" s="11">
        <f t="shared" ca="1" si="82"/>
        <v>0</v>
      </c>
      <c r="BJ30" s="11">
        <f t="shared" ca="1" si="82"/>
        <v>0</v>
      </c>
      <c r="BK30" s="11">
        <f t="shared" ca="1" si="82"/>
        <v>0</v>
      </c>
      <c r="BL30" s="11">
        <f t="shared" ca="1" si="82"/>
        <v>0</v>
      </c>
      <c r="BM30" s="11">
        <f t="shared" ca="1" si="82"/>
        <v>0</v>
      </c>
      <c r="BN30" s="11">
        <f t="shared" ca="1" si="82"/>
        <v>0</v>
      </c>
      <c r="BO30" s="11">
        <f t="shared" ca="1" si="82"/>
        <v>0</v>
      </c>
      <c r="BP30" s="11">
        <f t="shared" ca="1" si="82"/>
        <v>0</v>
      </c>
      <c r="BQ30" s="11">
        <f t="shared" ca="1" si="82"/>
        <v>0</v>
      </c>
      <c r="BR30" s="11">
        <f t="shared" ca="1" si="57"/>
        <v>0</v>
      </c>
      <c r="BS30" s="11">
        <f t="shared" ca="1" si="57"/>
        <v>0</v>
      </c>
      <c r="BT30" s="11">
        <f t="shared" ca="1" si="57"/>
        <v>0</v>
      </c>
      <c r="BU30" s="11">
        <f t="shared" ca="1" si="57"/>
        <v>1.0116559673084922E-201</v>
      </c>
      <c r="BV30" s="11">
        <f t="shared" ca="1" si="57"/>
        <v>0</v>
      </c>
      <c r="BW30" s="11">
        <f t="shared" ca="1" si="57"/>
        <v>1.0116559673084922E-201</v>
      </c>
      <c r="BX30" s="11">
        <f t="shared" ca="1" si="57"/>
        <v>0</v>
      </c>
      <c r="BY30" s="11">
        <f t="shared" ca="1" si="57"/>
        <v>1.0116559673084922E-201</v>
      </c>
      <c r="BZ30" s="11">
        <f t="shared" ca="1" si="57"/>
        <v>0</v>
      </c>
      <c r="CA30" s="11">
        <f t="shared" ca="1" si="57"/>
        <v>0</v>
      </c>
      <c r="CB30" s="11">
        <f t="shared" ca="1" si="57"/>
        <v>0</v>
      </c>
      <c r="CC30" s="11">
        <f t="shared" ca="1" si="57"/>
        <v>0</v>
      </c>
      <c r="CD30" s="11">
        <f t="shared" ca="1" si="57"/>
        <v>0</v>
      </c>
      <c r="CE30" s="11">
        <f t="shared" ca="1" si="57"/>
        <v>0</v>
      </c>
      <c r="CF30" s="11">
        <f t="shared" ca="1" si="57"/>
        <v>0</v>
      </c>
      <c r="CG30" s="11">
        <f t="shared" ca="1" si="57"/>
        <v>0</v>
      </c>
      <c r="CH30" s="11">
        <f t="shared" ca="1" si="73"/>
        <v>0</v>
      </c>
      <c r="CI30" s="11">
        <f t="shared" ca="1" si="73"/>
        <v>0</v>
      </c>
      <c r="CJ30" s="11">
        <f t="shared" ca="1" si="73"/>
        <v>0</v>
      </c>
      <c r="CK30" s="11">
        <f t="shared" ca="1" si="73"/>
        <v>0</v>
      </c>
      <c r="CL30" s="11">
        <f t="shared" ca="1" si="73"/>
        <v>0</v>
      </c>
      <c r="CM30" s="11">
        <f t="shared" ca="1" si="73"/>
        <v>0</v>
      </c>
      <c r="CN30" s="11">
        <f t="shared" ca="1" si="73"/>
        <v>0</v>
      </c>
      <c r="CO30" s="11">
        <f t="shared" ca="1" si="73"/>
        <v>0</v>
      </c>
      <c r="CP30" s="11">
        <f t="shared" ca="1" si="73"/>
        <v>0</v>
      </c>
    </row>
    <row r="31" spans="1:94" ht="14.45" x14ac:dyDescent="0.3">
      <c r="A31" t="str">
        <f t="shared" si="2"/>
        <v>6D</v>
      </c>
      <c r="B31">
        <f t="shared" si="3"/>
        <v>109</v>
      </c>
      <c r="C31" s="20">
        <v>7.3190655999999965</v>
      </c>
      <c r="D31">
        <v>25</v>
      </c>
      <c r="E31" t="s">
        <v>3</v>
      </c>
      <c r="F31" s="13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5">
        <v>0</v>
      </c>
      <c r="O31" s="13">
        <v>0</v>
      </c>
      <c r="P31" s="14">
        <v>0</v>
      </c>
      <c r="Q31" s="14">
        <v>0</v>
      </c>
      <c r="R31" s="15">
        <v>0</v>
      </c>
      <c r="S31" s="13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5">
        <v>0</v>
      </c>
      <c r="Z31" s="13">
        <v>0</v>
      </c>
      <c r="AA31" s="14">
        <v>0</v>
      </c>
      <c r="AB31" s="14">
        <v>1</v>
      </c>
      <c r="AC31" s="14">
        <v>1</v>
      </c>
      <c r="AD31" s="14">
        <v>0</v>
      </c>
      <c r="AE31" s="15">
        <v>1</v>
      </c>
      <c r="AF31" s="13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5">
        <v>0</v>
      </c>
      <c r="AR31" s="13">
        <v>0</v>
      </c>
      <c r="AS31" s="14">
        <v>0</v>
      </c>
      <c r="AT31" s="14">
        <v>0</v>
      </c>
      <c r="AU31" s="15">
        <v>0</v>
      </c>
      <c r="AW31">
        <f t="shared" si="46"/>
        <v>3</v>
      </c>
      <c r="AY31" s="12">
        <f t="shared" ca="1" si="47"/>
        <v>1.686093278847487E-201</v>
      </c>
      <c r="BA31" s="11">
        <f t="shared" ca="1" si="49"/>
        <v>0</v>
      </c>
      <c r="BB31" s="11">
        <f t="shared" ca="1" si="82"/>
        <v>0</v>
      </c>
      <c r="BC31" s="11">
        <f t="shared" ca="1" si="82"/>
        <v>0</v>
      </c>
      <c r="BD31" s="11">
        <f t="shared" ca="1" si="82"/>
        <v>0</v>
      </c>
      <c r="BE31" s="11">
        <f t="shared" ca="1" si="82"/>
        <v>0</v>
      </c>
      <c r="BF31" s="11">
        <f t="shared" ca="1" si="82"/>
        <v>0</v>
      </c>
      <c r="BG31" s="11">
        <f t="shared" ca="1" si="82"/>
        <v>0</v>
      </c>
      <c r="BH31" s="11">
        <f t="shared" ca="1" si="82"/>
        <v>0</v>
      </c>
      <c r="BI31" s="11">
        <f t="shared" ca="1" si="82"/>
        <v>0</v>
      </c>
      <c r="BJ31" s="11">
        <f t="shared" ca="1" si="82"/>
        <v>0</v>
      </c>
      <c r="BK31" s="11">
        <f t="shared" ca="1" si="82"/>
        <v>0</v>
      </c>
      <c r="BL31" s="11">
        <f t="shared" ca="1" si="82"/>
        <v>0</v>
      </c>
      <c r="BM31" s="11">
        <f t="shared" ca="1" si="82"/>
        <v>0</v>
      </c>
      <c r="BN31" s="11">
        <f t="shared" ca="1" si="82"/>
        <v>0</v>
      </c>
      <c r="BO31" s="11">
        <f t="shared" ca="1" si="82"/>
        <v>0</v>
      </c>
      <c r="BP31" s="11">
        <f t="shared" ca="1" si="82"/>
        <v>0</v>
      </c>
      <c r="BQ31" s="11">
        <f t="shared" ca="1" si="82"/>
        <v>0</v>
      </c>
      <c r="BR31" s="11">
        <f t="shared" ca="1" si="57"/>
        <v>0</v>
      </c>
      <c r="BS31" s="11">
        <f t="shared" ca="1" si="57"/>
        <v>0</v>
      </c>
      <c r="BT31" s="11">
        <f t="shared" ca="1" si="57"/>
        <v>0</v>
      </c>
      <c r="BU31" s="11">
        <f t="shared" ca="1" si="57"/>
        <v>0</v>
      </c>
      <c r="BV31" s="11">
        <f t="shared" ca="1" si="57"/>
        <v>0</v>
      </c>
      <c r="BW31" s="11">
        <f t="shared" ca="1" si="57"/>
        <v>1.0116559673084922E-201</v>
      </c>
      <c r="BX31" s="11">
        <f t="shared" ca="1" si="57"/>
        <v>1.0116559673084922E-201</v>
      </c>
      <c r="BY31" s="11">
        <f t="shared" ca="1" si="57"/>
        <v>0</v>
      </c>
      <c r="BZ31" s="11">
        <f t="shared" ca="1" si="57"/>
        <v>1.0116559673084922E-201</v>
      </c>
      <c r="CA31" s="11">
        <f t="shared" ca="1" si="57"/>
        <v>0</v>
      </c>
      <c r="CB31" s="11">
        <f t="shared" ca="1" si="57"/>
        <v>0</v>
      </c>
      <c r="CC31" s="11">
        <f t="shared" ca="1" si="57"/>
        <v>0</v>
      </c>
      <c r="CD31" s="11">
        <f t="shared" ca="1" si="57"/>
        <v>0</v>
      </c>
      <c r="CE31" s="11">
        <f t="shared" ca="1" si="57"/>
        <v>0</v>
      </c>
      <c r="CF31" s="11">
        <f t="shared" ca="1" si="57"/>
        <v>0</v>
      </c>
      <c r="CG31" s="11">
        <f t="shared" ca="1" si="57"/>
        <v>0</v>
      </c>
      <c r="CH31" s="11">
        <f t="shared" ca="1" si="73"/>
        <v>0</v>
      </c>
      <c r="CI31" s="11">
        <f t="shared" ca="1" si="73"/>
        <v>0</v>
      </c>
      <c r="CJ31" s="11">
        <f t="shared" ca="1" si="73"/>
        <v>0</v>
      </c>
      <c r="CK31" s="11">
        <f t="shared" ca="1" si="73"/>
        <v>0</v>
      </c>
      <c r="CL31" s="11">
        <f t="shared" ca="1" si="73"/>
        <v>0</v>
      </c>
      <c r="CM31" s="11">
        <f t="shared" ca="1" si="73"/>
        <v>0</v>
      </c>
      <c r="CN31" s="11">
        <f t="shared" ca="1" si="73"/>
        <v>0</v>
      </c>
      <c r="CO31" s="11">
        <f t="shared" ca="1" si="73"/>
        <v>0</v>
      </c>
      <c r="CP31" s="11">
        <f t="shared" ca="1" si="73"/>
        <v>0</v>
      </c>
    </row>
    <row r="32" spans="1:94" ht="14.45" x14ac:dyDescent="0.3">
      <c r="A32" t="str">
        <f t="shared" si="2"/>
        <v>64</v>
      </c>
      <c r="B32">
        <f t="shared" si="3"/>
        <v>100</v>
      </c>
      <c r="C32" s="20">
        <v>7.0790655999999963</v>
      </c>
      <c r="D32">
        <v>26</v>
      </c>
      <c r="E32" t="s">
        <v>3</v>
      </c>
      <c r="F32" s="13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5">
        <v>0</v>
      </c>
      <c r="O32" s="13">
        <v>0</v>
      </c>
      <c r="P32" s="14">
        <v>0</v>
      </c>
      <c r="Q32" s="14">
        <v>0</v>
      </c>
      <c r="R32" s="15">
        <v>0</v>
      </c>
      <c r="S32" s="13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5">
        <v>0</v>
      </c>
      <c r="Z32" s="13">
        <v>0</v>
      </c>
      <c r="AA32" s="14">
        <v>0</v>
      </c>
      <c r="AB32" s="14">
        <v>1</v>
      </c>
      <c r="AC32" s="14">
        <v>0</v>
      </c>
      <c r="AD32" s="14">
        <v>1</v>
      </c>
      <c r="AE32" s="15">
        <v>0</v>
      </c>
      <c r="AF32" s="13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4">
        <v>0</v>
      </c>
      <c r="AP32" s="14">
        <v>0</v>
      </c>
      <c r="AQ32" s="15">
        <v>0</v>
      </c>
      <c r="AR32" s="13">
        <v>0</v>
      </c>
      <c r="AS32" s="14">
        <v>0</v>
      </c>
      <c r="AT32" s="14">
        <v>0</v>
      </c>
      <c r="AU32" s="15">
        <v>0</v>
      </c>
      <c r="AW32">
        <f t="shared" si="46"/>
        <v>2</v>
      </c>
      <c r="AY32" s="12">
        <f t="shared" ca="1" si="47"/>
        <v>1.686093278847487E-201</v>
      </c>
      <c r="BA32" s="11">
        <f t="shared" ca="1" si="49"/>
        <v>0</v>
      </c>
      <c r="BB32" s="11">
        <f t="shared" ca="1" si="82"/>
        <v>0</v>
      </c>
      <c r="BC32" s="11">
        <f t="shared" ca="1" si="82"/>
        <v>0</v>
      </c>
      <c r="BD32" s="11">
        <f t="shared" ca="1" si="82"/>
        <v>0</v>
      </c>
      <c r="BE32" s="11">
        <f t="shared" ca="1" si="82"/>
        <v>0</v>
      </c>
      <c r="BF32" s="11">
        <f t="shared" ca="1" si="82"/>
        <v>0</v>
      </c>
      <c r="BG32" s="11">
        <f t="shared" ca="1" si="82"/>
        <v>0</v>
      </c>
      <c r="BH32" s="11">
        <f t="shared" ca="1" si="82"/>
        <v>0</v>
      </c>
      <c r="BI32" s="11">
        <f t="shared" ca="1" si="82"/>
        <v>0</v>
      </c>
      <c r="BJ32" s="11">
        <f t="shared" ca="1" si="82"/>
        <v>0</v>
      </c>
      <c r="BK32" s="11">
        <f t="shared" ca="1" si="82"/>
        <v>0</v>
      </c>
      <c r="BL32" s="11">
        <f t="shared" ca="1" si="82"/>
        <v>0</v>
      </c>
      <c r="BM32" s="11">
        <f t="shared" ca="1" si="82"/>
        <v>0</v>
      </c>
      <c r="BN32" s="11">
        <f t="shared" ca="1" si="82"/>
        <v>0</v>
      </c>
      <c r="BO32" s="11">
        <f t="shared" ca="1" si="82"/>
        <v>0</v>
      </c>
      <c r="BP32" s="11">
        <f t="shared" ca="1" si="82"/>
        <v>0</v>
      </c>
      <c r="BQ32" s="11">
        <f t="shared" ca="1" si="82"/>
        <v>0</v>
      </c>
      <c r="BR32" s="11">
        <f t="shared" ca="1" si="57"/>
        <v>0</v>
      </c>
      <c r="BS32" s="11">
        <f t="shared" ca="1" si="57"/>
        <v>0</v>
      </c>
      <c r="BT32" s="11">
        <f t="shared" ca="1" si="57"/>
        <v>0</v>
      </c>
      <c r="BU32" s="11">
        <f t="shared" ca="1" si="57"/>
        <v>0</v>
      </c>
      <c r="BV32" s="11">
        <f t="shared" ca="1" si="57"/>
        <v>0</v>
      </c>
      <c r="BW32" s="11">
        <f t="shared" ca="1" si="57"/>
        <v>1.0116559673084922E-201</v>
      </c>
      <c r="BX32" s="11">
        <f t="shared" ca="1" si="57"/>
        <v>0</v>
      </c>
      <c r="BY32" s="11">
        <f t="shared" ca="1" si="57"/>
        <v>1.0116559673084922E-201</v>
      </c>
      <c r="BZ32" s="11">
        <f t="shared" ca="1" si="57"/>
        <v>0</v>
      </c>
      <c r="CA32" s="11">
        <f t="shared" ca="1" si="57"/>
        <v>0</v>
      </c>
      <c r="CB32" s="11">
        <f t="shared" ca="1" si="57"/>
        <v>0</v>
      </c>
      <c r="CC32" s="11">
        <f t="shared" ca="1" si="57"/>
        <v>0</v>
      </c>
      <c r="CD32" s="11">
        <f t="shared" ca="1" si="57"/>
        <v>0</v>
      </c>
      <c r="CE32" s="11">
        <f t="shared" ca="1" si="57"/>
        <v>0</v>
      </c>
      <c r="CF32" s="11">
        <f t="shared" ca="1" si="57"/>
        <v>0</v>
      </c>
      <c r="CG32" s="11">
        <f t="shared" ca="1" si="57"/>
        <v>0</v>
      </c>
      <c r="CH32" s="11">
        <f t="shared" ca="1" si="73"/>
        <v>0</v>
      </c>
      <c r="CI32" s="11">
        <f t="shared" ca="1" si="73"/>
        <v>0</v>
      </c>
      <c r="CJ32" s="11">
        <f t="shared" ca="1" si="73"/>
        <v>0</v>
      </c>
      <c r="CK32" s="11">
        <f t="shared" ca="1" si="73"/>
        <v>0</v>
      </c>
      <c r="CL32" s="11">
        <f t="shared" ca="1" si="73"/>
        <v>0</v>
      </c>
      <c r="CM32" s="11">
        <f t="shared" ca="1" si="73"/>
        <v>0</v>
      </c>
      <c r="CN32" s="11">
        <f t="shared" ca="1" si="73"/>
        <v>0</v>
      </c>
      <c r="CO32" s="11">
        <f t="shared" ca="1" si="73"/>
        <v>0</v>
      </c>
      <c r="CP32" s="11">
        <f t="shared" ca="1" si="73"/>
        <v>0</v>
      </c>
    </row>
    <row r="33" spans="1:94" ht="14.45" x14ac:dyDescent="0.3">
      <c r="A33" t="str">
        <f t="shared" si="2"/>
        <v>D7</v>
      </c>
      <c r="B33">
        <f t="shared" si="3"/>
        <v>215</v>
      </c>
      <c r="C33" s="20">
        <v>10.382847999999996</v>
      </c>
      <c r="D33">
        <v>27</v>
      </c>
      <c r="E33" t="s">
        <v>4</v>
      </c>
      <c r="F33" s="13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5">
        <v>0</v>
      </c>
      <c r="O33" s="13">
        <v>0</v>
      </c>
      <c r="P33" s="14">
        <v>0</v>
      </c>
      <c r="Q33" s="14">
        <v>0</v>
      </c>
      <c r="R33" s="15">
        <v>0</v>
      </c>
      <c r="S33" s="13">
        <v>0</v>
      </c>
      <c r="T33" s="14">
        <v>0</v>
      </c>
      <c r="U33" s="14">
        <v>0</v>
      </c>
      <c r="V33" s="14">
        <v>1</v>
      </c>
      <c r="W33" s="14">
        <v>0</v>
      </c>
      <c r="X33" s="14">
        <v>0</v>
      </c>
      <c r="Y33" s="15">
        <v>0</v>
      </c>
      <c r="Z33" s="13">
        <v>0</v>
      </c>
      <c r="AA33" s="14">
        <v>0</v>
      </c>
      <c r="AB33" s="14">
        <v>0</v>
      </c>
      <c r="AC33" s="14">
        <v>0</v>
      </c>
      <c r="AD33" s="14">
        <v>0</v>
      </c>
      <c r="AE33" s="15">
        <v>0</v>
      </c>
      <c r="AF33" s="13">
        <v>0</v>
      </c>
      <c r="AG33" s="14">
        <v>1</v>
      </c>
      <c r="AH33" s="14">
        <v>0</v>
      </c>
      <c r="AI33" s="14">
        <v>0</v>
      </c>
      <c r="AJ33" s="14">
        <v>0</v>
      </c>
      <c r="AK33" s="14">
        <v>1</v>
      </c>
      <c r="AL33" s="14">
        <v>1</v>
      </c>
      <c r="AM33" s="14">
        <v>0</v>
      </c>
      <c r="AN33" s="14">
        <v>0</v>
      </c>
      <c r="AO33" s="14">
        <v>0</v>
      </c>
      <c r="AP33" s="14">
        <v>0</v>
      </c>
      <c r="AQ33" s="15">
        <v>0</v>
      </c>
      <c r="AR33" s="13">
        <v>0</v>
      </c>
      <c r="AS33" s="14">
        <v>0</v>
      </c>
      <c r="AT33" s="14">
        <v>0</v>
      </c>
      <c r="AU33" s="15">
        <v>0</v>
      </c>
      <c r="AW33">
        <f t="shared" si="46"/>
        <v>4</v>
      </c>
      <c r="AY33" s="12">
        <f t="shared" ca="1" si="47"/>
        <v>1.686093278847487E-201</v>
      </c>
      <c r="BA33" s="11">
        <f t="shared" ca="1" si="49"/>
        <v>0</v>
      </c>
      <c r="BB33" s="11">
        <f t="shared" ca="1" si="82"/>
        <v>0</v>
      </c>
      <c r="BC33" s="11">
        <f t="shared" ca="1" si="82"/>
        <v>0</v>
      </c>
      <c r="BD33" s="11">
        <f t="shared" ca="1" si="82"/>
        <v>0</v>
      </c>
      <c r="BE33" s="11">
        <f t="shared" ca="1" si="82"/>
        <v>0</v>
      </c>
      <c r="BF33" s="11">
        <f t="shared" ca="1" si="82"/>
        <v>0</v>
      </c>
      <c r="BG33" s="11">
        <f t="shared" ca="1" si="82"/>
        <v>0</v>
      </c>
      <c r="BH33" s="11">
        <f t="shared" ca="1" si="82"/>
        <v>0</v>
      </c>
      <c r="BI33" s="11">
        <f t="shared" ca="1" si="82"/>
        <v>0</v>
      </c>
      <c r="BJ33" s="11">
        <f t="shared" ca="1" si="82"/>
        <v>0</v>
      </c>
      <c r="BK33" s="11">
        <f t="shared" ca="1" si="82"/>
        <v>0</v>
      </c>
      <c r="BL33" s="11">
        <f t="shared" ca="1" si="82"/>
        <v>0</v>
      </c>
      <c r="BM33" s="11">
        <f t="shared" ca="1" si="82"/>
        <v>0</v>
      </c>
      <c r="BN33" s="11">
        <f t="shared" ca="1" si="82"/>
        <v>0</v>
      </c>
      <c r="BO33" s="11">
        <f t="shared" ca="1" si="82"/>
        <v>0</v>
      </c>
      <c r="BP33" s="11">
        <f t="shared" ca="1" si="82"/>
        <v>0</v>
      </c>
      <c r="BQ33" s="11">
        <f t="shared" ca="1" si="82"/>
        <v>1.0116559673084922E-201</v>
      </c>
      <c r="BR33" s="11">
        <f t="shared" ca="1" si="57"/>
        <v>0</v>
      </c>
      <c r="BS33" s="11">
        <f t="shared" ca="1" si="57"/>
        <v>0</v>
      </c>
      <c r="BT33" s="11">
        <f t="shared" ca="1" si="57"/>
        <v>0</v>
      </c>
      <c r="BU33" s="11">
        <f t="shared" ca="1" si="57"/>
        <v>0</v>
      </c>
      <c r="BV33" s="11">
        <f t="shared" ca="1" si="57"/>
        <v>0</v>
      </c>
      <c r="BW33" s="11">
        <f t="shared" ca="1" si="57"/>
        <v>0</v>
      </c>
      <c r="BX33" s="11">
        <f t="shared" ca="1" si="57"/>
        <v>0</v>
      </c>
      <c r="BY33" s="11">
        <f t="shared" ca="1" si="57"/>
        <v>0</v>
      </c>
      <c r="BZ33" s="11">
        <f t="shared" ca="1" si="57"/>
        <v>0</v>
      </c>
      <c r="CA33" s="11">
        <f t="shared" ca="1" si="57"/>
        <v>0</v>
      </c>
      <c r="CB33" s="11">
        <f t="shared" ca="1" si="57"/>
        <v>1.0116559673084922E-201</v>
      </c>
      <c r="CC33" s="11">
        <f t="shared" ca="1" si="57"/>
        <v>0</v>
      </c>
      <c r="CD33" s="11">
        <f t="shared" ca="1" si="57"/>
        <v>0</v>
      </c>
      <c r="CE33" s="11">
        <f t="shared" ca="1" si="57"/>
        <v>0</v>
      </c>
      <c r="CF33" s="11">
        <f t="shared" ca="1" si="57"/>
        <v>1.0116559673084922E-201</v>
      </c>
      <c r="CG33" s="11">
        <f t="shared" ca="1" si="57"/>
        <v>1.0116559673084922E-201</v>
      </c>
      <c r="CH33" s="11">
        <f t="shared" ca="1" si="73"/>
        <v>0</v>
      </c>
      <c r="CI33" s="11">
        <f t="shared" ca="1" si="73"/>
        <v>0</v>
      </c>
      <c r="CJ33" s="11">
        <f t="shared" ca="1" si="73"/>
        <v>0</v>
      </c>
      <c r="CK33" s="11">
        <f t="shared" ca="1" si="73"/>
        <v>0</v>
      </c>
      <c r="CL33" s="11">
        <f t="shared" ca="1" si="73"/>
        <v>0</v>
      </c>
      <c r="CM33" s="11">
        <f t="shared" ca="1" si="73"/>
        <v>0</v>
      </c>
      <c r="CN33" s="11">
        <f t="shared" ca="1" si="73"/>
        <v>0</v>
      </c>
      <c r="CO33" s="11">
        <f t="shared" ca="1" si="73"/>
        <v>0</v>
      </c>
      <c r="CP33" s="11">
        <f t="shared" ca="1" si="73"/>
        <v>0</v>
      </c>
    </row>
    <row r="34" spans="1:94" ht="14.45" x14ac:dyDescent="0.3">
      <c r="A34" t="str">
        <f t="shared" si="2"/>
        <v>BE</v>
      </c>
      <c r="B34">
        <f t="shared" si="3"/>
        <v>190</v>
      </c>
      <c r="C34" s="20">
        <v>9.6540159999999968</v>
      </c>
      <c r="D34">
        <v>28</v>
      </c>
      <c r="E34" t="s">
        <v>4</v>
      </c>
      <c r="F34" s="13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5">
        <v>0</v>
      </c>
      <c r="O34" s="13">
        <v>0</v>
      </c>
      <c r="P34" s="14">
        <v>0</v>
      </c>
      <c r="Q34" s="14">
        <v>0</v>
      </c>
      <c r="R34" s="15">
        <v>0</v>
      </c>
      <c r="S34" s="13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5">
        <v>0</v>
      </c>
      <c r="Z34" s="13">
        <v>0</v>
      </c>
      <c r="AA34" s="14">
        <v>0</v>
      </c>
      <c r="AB34" s="14">
        <v>0</v>
      </c>
      <c r="AC34" s="14">
        <v>0</v>
      </c>
      <c r="AD34" s="14">
        <v>0</v>
      </c>
      <c r="AE34" s="15">
        <v>0</v>
      </c>
      <c r="AF34" s="13">
        <v>1</v>
      </c>
      <c r="AG34" s="14">
        <v>0</v>
      </c>
      <c r="AH34" s="14">
        <v>1</v>
      </c>
      <c r="AI34" s="14">
        <v>0</v>
      </c>
      <c r="AJ34" s="14">
        <v>1</v>
      </c>
      <c r="AK34" s="14">
        <v>0</v>
      </c>
      <c r="AL34" s="14">
        <v>1</v>
      </c>
      <c r="AM34" s="14">
        <v>1</v>
      </c>
      <c r="AN34" s="14">
        <v>0</v>
      </c>
      <c r="AO34" s="14">
        <v>0</v>
      </c>
      <c r="AP34" s="14">
        <v>0</v>
      </c>
      <c r="AQ34" s="15">
        <v>0</v>
      </c>
      <c r="AR34" s="13">
        <v>0</v>
      </c>
      <c r="AS34" s="14">
        <v>0</v>
      </c>
      <c r="AT34" s="14">
        <v>0</v>
      </c>
      <c r="AU34" s="15">
        <v>0</v>
      </c>
      <c r="AW34">
        <f t="shared" si="46"/>
        <v>5</v>
      </c>
      <c r="AY34" s="12">
        <f t="shared" ca="1" si="47"/>
        <v>1.686093278847487E-201</v>
      </c>
      <c r="BA34" s="11">
        <f t="shared" ca="1" si="49"/>
        <v>0</v>
      </c>
      <c r="BB34" s="11">
        <f t="shared" ca="1" si="82"/>
        <v>0</v>
      </c>
      <c r="BC34" s="11">
        <f t="shared" ca="1" si="82"/>
        <v>0</v>
      </c>
      <c r="BD34" s="11">
        <f t="shared" ca="1" si="82"/>
        <v>0</v>
      </c>
      <c r="BE34" s="11">
        <f t="shared" ca="1" si="82"/>
        <v>0</v>
      </c>
      <c r="BF34" s="11">
        <f t="shared" ca="1" si="82"/>
        <v>0</v>
      </c>
      <c r="BG34" s="11">
        <f t="shared" ca="1" si="82"/>
        <v>0</v>
      </c>
      <c r="BH34" s="11">
        <f t="shared" ca="1" si="82"/>
        <v>0</v>
      </c>
      <c r="BI34" s="11">
        <f t="shared" ca="1" si="82"/>
        <v>0</v>
      </c>
      <c r="BJ34" s="11">
        <f t="shared" ca="1" si="82"/>
        <v>0</v>
      </c>
      <c r="BK34" s="11">
        <f t="shared" ca="1" si="82"/>
        <v>0</v>
      </c>
      <c r="BL34" s="11">
        <f t="shared" ca="1" si="82"/>
        <v>0</v>
      </c>
      <c r="BM34" s="11">
        <f t="shared" ca="1" si="82"/>
        <v>0</v>
      </c>
      <c r="BN34" s="11">
        <f t="shared" ca="1" si="82"/>
        <v>0</v>
      </c>
      <c r="BO34" s="11">
        <f t="shared" ca="1" si="82"/>
        <v>0</v>
      </c>
      <c r="BP34" s="11">
        <f t="shared" ca="1" si="82"/>
        <v>0</v>
      </c>
      <c r="BQ34" s="11">
        <f t="shared" ca="1" si="82"/>
        <v>0</v>
      </c>
      <c r="BR34" s="11">
        <f t="shared" ca="1" si="57"/>
        <v>0</v>
      </c>
      <c r="BS34" s="11">
        <f t="shared" ca="1" si="57"/>
        <v>0</v>
      </c>
      <c r="BT34" s="11">
        <f t="shared" ca="1" si="57"/>
        <v>0</v>
      </c>
      <c r="BU34" s="11">
        <f t="shared" ca="1" si="57"/>
        <v>0</v>
      </c>
      <c r="BV34" s="11">
        <f t="shared" ca="1" si="57"/>
        <v>0</v>
      </c>
      <c r="BW34" s="11">
        <f t="shared" ca="1" si="57"/>
        <v>0</v>
      </c>
      <c r="BX34" s="11">
        <f t="shared" ca="1" si="57"/>
        <v>0</v>
      </c>
      <c r="BY34" s="11">
        <f t="shared" ca="1" si="57"/>
        <v>0</v>
      </c>
      <c r="BZ34" s="11">
        <f t="shared" ca="1" si="57"/>
        <v>0</v>
      </c>
      <c r="CA34" s="11">
        <f t="shared" ca="1" si="57"/>
        <v>1.0116559673084922E-201</v>
      </c>
      <c r="CB34" s="11">
        <f t="shared" ca="1" si="57"/>
        <v>0</v>
      </c>
      <c r="CC34" s="11">
        <f t="shared" ca="1" si="57"/>
        <v>1.0116559673084922E-201</v>
      </c>
      <c r="CD34" s="11">
        <f t="shared" ca="1" si="57"/>
        <v>0</v>
      </c>
      <c r="CE34" s="11">
        <f t="shared" ca="1" si="57"/>
        <v>1.0116559673084922E-201</v>
      </c>
      <c r="CF34" s="11">
        <f t="shared" ca="1" si="57"/>
        <v>0</v>
      </c>
      <c r="CG34" s="11">
        <f t="shared" ca="1" si="57"/>
        <v>1.0116559673084922E-201</v>
      </c>
      <c r="CH34" s="11">
        <f t="shared" ca="1" si="73"/>
        <v>1.0116559673084922E-201</v>
      </c>
      <c r="CI34" s="11">
        <f t="shared" ca="1" si="73"/>
        <v>0</v>
      </c>
      <c r="CJ34" s="11">
        <f t="shared" ca="1" si="73"/>
        <v>0</v>
      </c>
      <c r="CK34" s="11">
        <f t="shared" ca="1" si="73"/>
        <v>0</v>
      </c>
      <c r="CL34" s="11">
        <f t="shared" ca="1" si="73"/>
        <v>0</v>
      </c>
      <c r="CM34" s="11">
        <f t="shared" ca="1" si="73"/>
        <v>0</v>
      </c>
      <c r="CN34" s="11">
        <f t="shared" ca="1" si="73"/>
        <v>0</v>
      </c>
      <c r="CO34" s="11">
        <f t="shared" ca="1" si="73"/>
        <v>0</v>
      </c>
      <c r="CP34" s="11">
        <f t="shared" ca="1" si="73"/>
        <v>0</v>
      </c>
    </row>
    <row r="35" spans="1:94" ht="14.45" x14ac:dyDescent="0.3">
      <c r="A35" t="str">
        <f t="shared" si="2"/>
        <v>89</v>
      </c>
      <c r="B35">
        <f t="shared" si="3"/>
        <v>137</v>
      </c>
      <c r="C35" s="20">
        <v>8.1240832000000012</v>
      </c>
      <c r="D35">
        <v>29</v>
      </c>
      <c r="E35" t="s">
        <v>4</v>
      </c>
      <c r="F35" s="13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5">
        <v>0</v>
      </c>
      <c r="O35" s="13">
        <v>0</v>
      </c>
      <c r="P35" s="14">
        <v>0</v>
      </c>
      <c r="Q35" s="14">
        <v>0</v>
      </c>
      <c r="R35" s="15">
        <v>0</v>
      </c>
      <c r="S35" s="13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5">
        <v>0</v>
      </c>
      <c r="Z35" s="13">
        <v>0</v>
      </c>
      <c r="AA35" s="14">
        <v>0</v>
      </c>
      <c r="AB35" s="14">
        <v>0</v>
      </c>
      <c r="AC35" s="14">
        <v>0</v>
      </c>
      <c r="AD35" s="14">
        <v>0</v>
      </c>
      <c r="AE35" s="15">
        <v>0</v>
      </c>
      <c r="AF35" s="13">
        <v>0</v>
      </c>
      <c r="AG35" s="14">
        <v>1</v>
      </c>
      <c r="AH35" s="14">
        <v>0</v>
      </c>
      <c r="AI35" s="14">
        <v>1</v>
      </c>
      <c r="AJ35" s="14">
        <v>1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0</v>
      </c>
      <c r="AQ35" s="15">
        <v>0</v>
      </c>
      <c r="AR35" s="13">
        <v>0</v>
      </c>
      <c r="AS35" s="14">
        <v>0</v>
      </c>
      <c r="AT35" s="14">
        <v>0</v>
      </c>
      <c r="AU35" s="15">
        <v>0</v>
      </c>
      <c r="AW35">
        <f t="shared" si="46"/>
        <v>3</v>
      </c>
      <c r="AY35" s="12">
        <f t="shared" ca="1" si="47"/>
        <v>1.686093278847487E-201</v>
      </c>
      <c r="BA35" s="11">
        <f t="shared" ca="1" si="49"/>
        <v>0</v>
      </c>
      <c r="BB35" s="11">
        <f t="shared" ca="1" si="82"/>
        <v>0</v>
      </c>
      <c r="BC35" s="11">
        <f t="shared" ca="1" si="82"/>
        <v>0</v>
      </c>
      <c r="BD35" s="11">
        <f t="shared" ca="1" si="82"/>
        <v>0</v>
      </c>
      <c r="BE35" s="11">
        <f t="shared" ca="1" si="82"/>
        <v>0</v>
      </c>
      <c r="BF35" s="11">
        <f t="shared" ca="1" si="82"/>
        <v>0</v>
      </c>
      <c r="BG35" s="11">
        <f t="shared" ca="1" si="82"/>
        <v>0</v>
      </c>
      <c r="BH35" s="11">
        <f t="shared" ca="1" si="82"/>
        <v>0</v>
      </c>
      <c r="BI35" s="11">
        <f t="shared" ca="1" si="82"/>
        <v>0</v>
      </c>
      <c r="BJ35" s="11">
        <f t="shared" ca="1" si="82"/>
        <v>0</v>
      </c>
      <c r="BK35" s="11">
        <f t="shared" ca="1" si="82"/>
        <v>0</v>
      </c>
      <c r="BL35" s="11">
        <f t="shared" ca="1" si="82"/>
        <v>0</v>
      </c>
      <c r="BM35" s="11">
        <f t="shared" ca="1" si="82"/>
        <v>0</v>
      </c>
      <c r="BN35" s="11">
        <f t="shared" ca="1" si="82"/>
        <v>0</v>
      </c>
      <c r="BO35" s="11">
        <f t="shared" ca="1" si="82"/>
        <v>0</v>
      </c>
      <c r="BP35" s="11">
        <f t="shared" ca="1" si="82"/>
        <v>0</v>
      </c>
      <c r="BQ35" s="11">
        <f t="shared" ca="1" si="82"/>
        <v>0</v>
      </c>
      <c r="BR35" s="11">
        <f t="shared" ca="1" si="57"/>
        <v>0</v>
      </c>
      <c r="BS35" s="11">
        <f t="shared" ca="1" si="57"/>
        <v>0</v>
      </c>
      <c r="BT35" s="11">
        <f t="shared" ca="1" si="57"/>
        <v>0</v>
      </c>
      <c r="BU35" s="11">
        <f t="shared" ca="1" si="57"/>
        <v>0</v>
      </c>
      <c r="BV35" s="11">
        <f t="shared" ca="1" si="57"/>
        <v>0</v>
      </c>
      <c r="BW35" s="11">
        <f t="shared" ca="1" si="57"/>
        <v>0</v>
      </c>
      <c r="BX35" s="11">
        <f t="shared" ca="1" si="57"/>
        <v>0</v>
      </c>
      <c r="BY35" s="11">
        <f t="shared" ca="1" si="57"/>
        <v>0</v>
      </c>
      <c r="BZ35" s="11">
        <f t="shared" ca="1" si="57"/>
        <v>0</v>
      </c>
      <c r="CA35" s="11">
        <f t="shared" ca="1" si="57"/>
        <v>0</v>
      </c>
      <c r="CB35" s="11">
        <f t="shared" ca="1" si="57"/>
        <v>1.0116559673084922E-201</v>
      </c>
      <c r="CC35" s="11">
        <f t="shared" ca="1" si="57"/>
        <v>0</v>
      </c>
      <c r="CD35" s="11">
        <f t="shared" ca="1" si="57"/>
        <v>1.0116559673084922E-201</v>
      </c>
      <c r="CE35" s="11">
        <f t="shared" ca="1" si="57"/>
        <v>1.0116559673084922E-201</v>
      </c>
      <c r="CF35" s="11">
        <f t="shared" ca="1" si="57"/>
        <v>0</v>
      </c>
      <c r="CG35" s="11">
        <f t="shared" ca="1" si="57"/>
        <v>0</v>
      </c>
      <c r="CH35" s="11">
        <f t="shared" ca="1" si="73"/>
        <v>0</v>
      </c>
      <c r="CI35" s="11">
        <f t="shared" ca="1" si="73"/>
        <v>0</v>
      </c>
      <c r="CJ35" s="11">
        <f t="shared" ca="1" si="73"/>
        <v>0</v>
      </c>
      <c r="CK35" s="11">
        <f t="shared" ca="1" si="73"/>
        <v>0</v>
      </c>
      <c r="CL35" s="11">
        <f t="shared" ca="1" si="73"/>
        <v>0</v>
      </c>
      <c r="CM35" s="11">
        <f t="shared" ca="1" si="73"/>
        <v>0</v>
      </c>
      <c r="CN35" s="11">
        <f t="shared" ca="1" si="73"/>
        <v>0</v>
      </c>
      <c r="CO35" s="11">
        <f t="shared" ca="1" si="73"/>
        <v>0</v>
      </c>
      <c r="CP35" s="11">
        <f t="shared" ca="1" si="73"/>
        <v>0</v>
      </c>
    </row>
    <row r="36" spans="1:94" ht="14.45" x14ac:dyDescent="0.3">
      <c r="A36" t="str">
        <f t="shared" si="2"/>
        <v>A6</v>
      </c>
      <c r="B36">
        <f t="shared" si="3"/>
        <v>166</v>
      </c>
      <c r="C36" s="20">
        <v>8.9602815999999983</v>
      </c>
      <c r="D36">
        <v>30</v>
      </c>
      <c r="E36" t="s">
        <v>4</v>
      </c>
      <c r="F36" s="13">
        <v>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5">
        <v>0</v>
      </c>
      <c r="O36" s="13">
        <v>0</v>
      </c>
      <c r="P36" s="14">
        <v>0</v>
      </c>
      <c r="Q36" s="14">
        <v>0</v>
      </c>
      <c r="R36" s="15">
        <v>0</v>
      </c>
      <c r="S36" s="13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5">
        <v>0</v>
      </c>
      <c r="Z36" s="13">
        <v>0</v>
      </c>
      <c r="AA36" s="14">
        <v>0</v>
      </c>
      <c r="AB36" s="14">
        <v>0</v>
      </c>
      <c r="AC36" s="14">
        <v>0</v>
      </c>
      <c r="AD36" s="14">
        <v>0</v>
      </c>
      <c r="AE36" s="15">
        <v>0</v>
      </c>
      <c r="AF36" s="13">
        <v>0</v>
      </c>
      <c r="AG36" s="14">
        <v>0</v>
      </c>
      <c r="AH36" s="14">
        <v>1</v>
      </c>
      <c r="AI36" s="14">
        <v>0</v>
      </c>
      <c r="AJ36" s="14">
        <v>1</v>
      </c>
      <c r="AK36" s="14">
        <v>0</v>
      </c>
      <c r="AL36" s="14">
        <v>0</v>
      </c>
      <c r="AM36" s="14">
        <v>1</v>
      </c>
      <c r="AN36" s="14">
        <v>1</v>
      </c>
      <c r="AO36" s="14">
        <v>0</v>
      </c>
      <c r="AP36" s="14">
        <v>0</v>
      </c>
      <c r="AQ36" s="15">
        <v>0</v>
      </c>
      <c r="AR36" s="13">
        <v>0</v>
      </c>
      <c r="AS36" s="14">
        <v>0</v>
      </c>
      <c r="AT36" s="14">
        <v>0</v>
      </c>
      <c r="AU36" s="15">
        <v>0</v>
      </c>
      <c r="AW36">
        <f t="shared" si="46"/>
        <v>5</v>
      </c>
      <c r="AY36" s="12">
        <f t="shared" ca="1" si="47"/>
        <v>1.686093278847487E-201</v>
      </c>
      <c r="BA36" s="11">
        <f t="shared" ca="1" si="49"/>
        <v>1.0116559673084922E-201</v>
      </c>
      <c r="BB36" s="11">
        <f t="shared" ca="1" si="82"/>
        <v>0</v>
      </c>
      <c r="BC36" s="11">
        <f t="shared" ca="1" si="82"/>
        <v>0</v>
      </c>
      <c r="BD36" s="11">
        <f t="shared" ca="1" si="82"/>
        <v>0</v>
      </c>
      <c r="BE36" s="11">
        <f t="shared" ca="1" si="82"/>
        <v>0</v>
      </c>
      <c r="BF36" s="11">
        <f t="shared" ca="1" si="82"/>
        <v>0</v>
      </c>
      <c r="BG36" s="11">
        <f t="shared" ca="1" si="82"/>
        <v>0</v>
      </c>
      <c r="BH36" s="11">
        <f t="shared" ca="1" si="82"/>
        <v>0</v>
      </c>
      <c r="BI36" s="11">
        <f t="shared" ca="1" si="82"/>
        <v>0</v>
      </c>
      <c r="BJ36" s="11">
        <f t="shared" ca="1" si="82"/>
        <v>0</v>
      </c>
      <c r="BK36" s="11">
        <f t="shared" ca="1" si="82"/>
        <v>0</v>
      </c>
      <c r="BL36" s="11">
        <f t="shared" ca="1" si="82"/>
        <v>0</v>
      </c>
      <c r="BM36" s="11">
        <f t="shared" ca="1" si="82"/>
        <v>0</v>
      </c>
      <c r="BN36" s="11">
        <f t="shared" ca="1" si="82"/>
        <v>0</v>
      </c>
      <c r="BO36" s="11">
        <f t="shared" ca="1" si="82"/>
        <v>0</v>
      </c>
      <c r="BP36" s="11">
        <f t="shared" ca="1" si="82"/>
        <v>0</v>
      </c>
      <c r="BQ36" s="11">
        <f t="shared" ca="1" si="82"/>
        <v>0</v>
      </c>
      <c r="BR36" s="11">
        <f t="shared" ca="1" si="57"/>
        <v>0</v>
      </c>
      <c r="BS36" s="11">
        <f t="shared" ca="1" si="57"/>
        <v>0</v>
      </c>
      <c r="BT36" s="11">
        <f t="shared" ca="1" si="57"/>
        <v>0</v>
      </c>
      <c r="BU36" s="11">
        <f t="shared" ca="1" si="57"/>
        <v>0</v>
      </c>
      <c r="BV36" s="11">
        <f t="shared" ca="1" si="57"/>
        <v>0</v>
      </c>
      <c r="BW36" s="11">
        <f t="shared" ca="1" si="57"/>
        <v>0</v>
      </c>
      <c r="BX36" s="11">
        <f t="shared" ca="1" si="57"/>
        <v>0</v>
      </c>
      <c r="BY36" s="11">
        <f t="shared" ca="1" si="57"/>
        <v>0</v>
      </c>
      <c r="BZ36" s="11">
        <f t="shared" ca="1" si="57"/>
        <v>0</v>
      </c>
      <c r="CA36" s="11">
        <f t="shared" ca="1" si="57"/>
        <v>0</v>
      </c>
      <c r="CB36" s="11">
        <f t="shared" ca="1" si="57"/>
        <v>0</v>
      </c>
      <c r="CC36" s="11">
        <f t="shared" ca="1" si="57"/>
        <v>1.0116559673084922E-201</v>
      </c>
      <c r="CD36" s="11">
        <f t="shared" ca="1" si="57"/>
        <v>0</v>
      </c>
      <c r="CE36" s="11">
        <f t="shared" ca="1" si="57"/>
        <v>1.0116559673084922E-201</v>
      </c>
      <c r="CF36" s="11">
        <f t="shared" ca="1" si="57"/>
        <v>0</v>
      </c>
      <c r="CG36" s="11">
        <f t="shared" ca="1" si="57"/>
        <v>0</v>
      </c>
      <c r="CH36" s="11">
        <f t="shared" ca="1" si="73"/>
        <v>1.0116559673084922E-201</v>
      </c>
      <c r="CI36" s="11">
        <f t="shared" ca="1" si="73"/>
        <v>1.0116559673084922E-201</v>
      </c>
      <c r="CJ36" s="11">
        <f t="shared" ca="1" si="73"/>
        <v>0</v>
      </c>
      <c r="CK36" s="11">
        <f t="shared" ca="1" si="73"/>
        <v>0</v>
      </c>
      <c r="CL36" s="11">
        <f t="shared" ca="1" si="73"/>
        <v>0</v>
      </c>
      <c r="CM36" s="11">
        <f t="shared" ca="1" si="73"/>
        <v>0</v>
      </c>
      <c r="CN36" s="11">
        <f t="shared" ca="1" si="73"/>
        <v>0</v>
      </c>
      <c r="CO36" s="11">
        <f t="shared" ca="1" si="73"/>
        <v>0</v>
      </c>
      <c r="CP36" s="11">
        <f t="shared" ca="1" si="73"/>
        <v>0</v>
      </c>
    </row>
    <row r="37" spans="1:94" ht="14.45" x14ac:dyDescent="0.3">
      <c r="A37" t="str">
        <f t="shared" si="2"/>
        <v>91</v>
      </c>
      <c r="B37">
        <f t="shared" si="3"/>
        <v>145</v>
      </c>
      <c r="C37" s="20">
        <v>8.3640831999999996</v>
      </c>
      <c r="D37">
        <v>31</v>
      </c>
      <c r="E37" t="s">
        <v>4</v>
      </c>
      <c r="F37" s="13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5">
        <v>0</v>
      </c>
      <c r="O37" s="13">
        <v>0</v>
      </c>
      <c r="P37" s="14">
        <v>0</v>
      </c>
      <c r="Q37" s="14">
        <v>0</v>
      </c>
      <c r="R37" s="15">
        <v>0</v>
      </c>
      <c r="S37" s="13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5">
        <v>0</v>
      </c>
      <c r="Z37" s="13">
        <v>0</v>
      </c>
      <c r="AA37" s="14">
        <v>0</v>
      </c>
      <c r="AB37" s="14">
        <v>0</v>
      </c>
      <c r="AC37" s="14">
        <v>0</v>
      </c>
      <c r="AD37" s="14">
        <v>0</v>
      </c>
      <c r="AE37" s="15">
        <v>0</v>
      </c>
      <c r="AF37" s="13">
        <v>0</v>
      </c>
      <c r="AG37" s="14">
        <v>1</v>
      </c>
      <c r="AH37" s="14">
        <v>1</v>
      </c>
      <c r="AI37" s="14">
        <v>1</v>
      </c>
      <c r="AJ37" s="14">
        <v>0</v>
      </c>
      <c r="AK37" s="14">
        <v>0</v>
      </c>
      <c r="AL37" s="14">
        <v>0</v>
      </c>
      <c r="AM37" s="14">
        <v>1</v>
      </c>
      <c r="AN37" s="14">
        <v>0</v>
      </c>
      <c r="AO37" s="14">
        <v>0</v>
      </c>
      <c r="AP37" s="14">
        <v>0</v>
      </c>
      <c r="AQ37" s="15">
        <v>0</v>
      </c>
      <c r="AR37" s="13">
        <v>0</v>
      </c>
      <c r="AS37" s="14">
        <v>0</v>
      </c>
      <c r="AT37" s="14">
        <v>0</v>
      </c>
      <c r="AU37" s="15">
        <v>0</v>
      </c>
      <c r="AW37">
        <f t="shared" si="46"/>
        <v>4</v>
      </c>
      <c r="AY37" s="12">
        <f t="shared" ca="1" si="47"/>
        <v>1.686093278847487E-201</v>
      </c>
      <c r="BA37" s="11">
        <f t="shared" ca="1" si="49"/>
        <v>0</v>
      </c>
      <c r="BB37" s="11">
        <f t="shared" ca="1" si="82"/>
        <v>0</v>
      </c>
      <c r="BC37" s="11">
        <f t="shared" ca="1" si="82"/>
        <v>0</v>
      </c>
      <c r="BD37" s="11">
        <f t="shared" ca="1" si="82"/>
        <v>0</v>
      </c>
      <c r="BE37" s="11">
        <f t="shared" ca="1" si="82"/>
        <v>0</v>
      </c>
      <c r="BF37" s="11">
        <f t="shared" ca="1" si="82"/>
        <v>0</v>
      </c>
      <c r="BG37" s="11">
        <f t="shared" ca="1" si="82"/>
        <v>0</v>
      </c>
      <c r="BH37" s="11">
        <f t="shared" ca="1" si="82"/>
        <v>0</v>
      </c>
      <c r="BI37" s="11">
        <f t="shared" ca="1" si="82"/>
        <v>0</v>
      </c>
      <c r="BJ37" s="11">
        <f t="shared" ca="1" si="82"/>
        <v>0</v>
      </c>
      <c r="BK37" s="11">
        <f t="shared" ca="1" si="82"/>
        <v>0</v>
      </c>
      <c r="BL37" s="11">
        <f t="shared" ca="1" si="82"/>
        <v>0</v>
      </c>
      <c r="BM37" s="11">
        <f t="shared" ca="1" si="82"/>
        <v>0</v>
      </c>
      <c r="BN37" s="11">
        <f t="shared" ca="1" si="82"/>
        <v>0</v>
      </c>
      <c r="BO37" s="11">
        <f t="shared" ca="1" si="82"/>
        <v>0</v>
      </c>
      <c r="BP37" s="11">
        <f t="shared" ca="1" si="82"/>
        <v>0</v>
      </c>
      <c r="BQ37" s="11">
        <f t="shared" ca="1" si="82"/>
        <v>0</v>
      </c>
      <c r="BR37" s="11">
        <f t="shared" ca="1" si="57"/>
        <v>0</v>
      </c>
      <c r="BS37" s="11">
        <f t="shared" ca="1" si="57"/>
        <v>0</v>
      </c>
      <c r="BT37" s="11">
        <f t="shared" ca="1" si="57"/>
        <v>0</v>
      </c>
      <c r="BU37" s="11">
        <f t="shared" ca="1" si="57"/>
        <v>0</v>
      </c>
      <c r="BV37" s="11">
        <f t="shared" ca="1" si="57"/>
        <v>0</v>
      </c>
      <c r="BW37" s="11">
        <f t="shared" ca="1" si="57"/>
        <v>0</v>
      </c>
      <c r="BX37" s="11">
        <f t="shared" ca="1" si="57"/>
        <v>0</v>
      </c>
      <c r="BY37" s="11">
        <f t="shared" ca="1" si="57"/>
        <v>0</v>
      </c>
      <c r="BZ37" s="11">
        <f t="shared" ca="1" si="57"/>
        <v>0</v>
      </c>
      <c r="CA37" s="11">
        <f t="shared" ca="1" si="57"/>
        <v>0</v>
      </c>
      <c r="CB37" s="11">
        <f t="shared" ca="1" si="57"/>
        <v>1.0116559673084922E-201</v>
      </c>
      <c r="CC37" s="11">
        <f t="shared" ca="1" si="57"/>
        <v>1.0116559673084922E-201</v>
      </c>
      <c r="CD37" s="11">
        <f t="shared" ca="1" si="57"/>
        <v>1.0116559673084922E-201</v>
      </c>
      <c r="CE37" s="11">
        <f t="shared" ca="1" si="57"/>
        <v>0</v>
      </c>
      <c r="CF37" s="11">
        <f t="shared" ca="1" si="57"/>
        <v>0</v>
      </c>
      <c r="CG37" s="11">
        <f t="shared" ca="1" si="57"/>
        <v>0</v>
      </c>
      <c r="CH37" s="11">
        <f t="shared" ca="1" si="73"/>
        <v>1.0116559673084922E-201</v>
      </c>
      <c r="CI37" s="11">
        <f t="shared" ca="1" si="73"/>
        <v>0</v>
      </c>
      <c r="CJ37" s="11">
        <f t="shared" ca="1" si="73"/>
        <v>0</v>
      </c>
      <c r="CK37" s="11">
        <f t="shared" ca="1" si="73"/>
        <v>0</v>
      </c>
      <c r="CL37" s="11">
        <f t="shared" ca="1" si="73"/>
        <v>0</v>
      </c>
      <c r="CM37" s="11">
        <f t="shared" ca="1" si="73"/>
        <v>0</v>
      </c>
      <c r="CN37" s="11">
        <f t="shared" ca="1" si="73"/>
        <v>0</v>
      </c>
      <c r="CO37" s="11">
        <f t="shared" ca="1" si="73"/>
        <v>0</v>
      </c>
      <c r="CP37" s="11">
        <f t="shared" ca="1" si="73"/>
        <v>0</v>
      </c>
    </row>
    <row r="38" spans="1:94" ht="14.45" x14ac:dyDescent="0.3">
      <c r="A38" t="str">
        <f t="shared" si="2"/>
        <v>E8</v>
      </c>
      <c r="B38">
        <f t="shared" si="3"/>
        <v>232</v>
      </c>
      <c r="C38" s="20">
        <v>10.882047999999998</v>
      </c>
      <c r="D38">
        <v>32</v>
      </c>
      <c r="E38" t="s">
        <v>4</v>
      </c>
      <c r="F38" s="13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5">
        <v>0</v>
      </c>
      <c r="O38" s="13">
        <v>0</v>
      </c>
      <c r="P38" s="14">
        <v>0</v>
      </c>
      <c r="Q38" s="14">
        <v>0</v>
      </c>
      <c r="R38" s="15">
        <v>0</v>
      </c>
      <c r="S38" s="13">
        <v>0</v>
      </c>
      <c r="T38" s="14">
        <v>0</v>
      </c>
      <c r="U38" s="14">
        <v>0</v>
      </c>
      <c r="V38" s="14">
        <v>1</v>
      </c>
      <c r="W38" s="14">
        <v>0</v>
      </c>
      <c r="X38" s="14">
        <v>0</v>
      </c>
      <c r="Y38" s="15">
        <v>0</v>
      </c>
      <c r="Z38" s="13">
        <v>0</v>
      </c>
      <c r="AA38" s="14">
        <v>0</v>
      </c>
      <c r="AB38" s="14">
        <v>0</v>
      </c>
      <c r="AC38" s="14">
        <v>0</v>
      </c>
      <c r="AD38" s="14">
        <v>0</v>
      </c>
      <c r="AE38" s="15">
        <v>0</v>
      </c>
      <c r="AF38" s="13">
        <v>1</v>
      </c>
      <c r="AG38" s="14">
        <v>0</v>
      </c>
      <c r="AH38" s="14">
        <v>0</v>
      </c>
      <c r="AI38" s="14">
        <v>0</v>
      </c>
      <c r="AJ38" s="14">
        <v>0</v>
      </c>
      <c r="AK38" s="14">
        <v>0</v>
      </c>
      <c r="AL38" s="14">
        <v>1</v>
      </c>
      <c r="AM38" s="14">
        <v>0</v>
      </c>
      <c r="AN38" s="14">
        <v>0</v>
      </c>
      <c r="AO38" s="14">
        <v>1</v>
      </c>
      <c r="AP38" s="14">
        <v>1</v>
      </c>
      <c r="AQ38" s="15">
        <v>0</v>
      </c>
      <c r="AR38" s="13">
        <v>0</v>
      </c>
      <c r="AS38" s="14">
        <v>0</v>
      </c>
      <c r="AT38" s="14">
        <v>0</v>
      </c>
      <c r="AU38" s="15">
        <v>0</v>
      </c>
      <c r="AW38">
        <f t="shared" si="46"/>
        <v>5</v>
      </c>
      <c r="AY38" s="12">
        <f t="shared" ca="1" si="47"/>
        <v>1.686093278847487E-201</v>
      </c>
      <c r="BA38" s="11">
        <f t="shared" ca="1" si="49"/>
        <v>0</v>
      </c>
      <c r="BB38" s="11">
        <f t="shared" ca="1" si="82"/>
        <v>0</v>
      </c>
      <c r="BC38" s="11">
        <f t="shared" ca="1" si="82"/>
        <v>0</v>
      </c>
      <c r="BD38" s="11">
        <f t="shared" ca="1" si="82"/>
        <v>0</v>
      </c>
      <c r="BE38" s="11">
        <f t="shared" ca="1" si="82"/>
        <v>0</v>
      </c>
      <c r="BF38" s="11">
        <f t="shared" ca="1" si="82"/>
        <v>0</v>
      </c>
      <c r="BG38" s="11">
        <f t="shared" ca="1" si="82"/>
        <v>0</v>
      </c>
      <c r="BH38" s="11">
        <f t="shared" ca="1" si="82"/>
        <v>0</v>
      </c>
      <c r="BI38" s="11">
        <f t="shared" ca="1" si="82"/>
        <v>0</v>
      </c>
      <c r="BJ38" s="11">
        <f t="shared" ca="1" si="82"/>
        <v>0</v>
      </c>
      <c r="BK38" s="11">
        <f t="shared" ca="1" si="82"/>
        <v>0</v>
      </c>
      <c r="BL38" s="11">
        <f t="shared" ca="1" si="82"/>
        <v>0</v>
      </c>
      <c r="BM38" s="11">
        <f t="shared" ca="1" si="82"/>
        <v>0</v>
      </c>
      <c r="BN38" s="11">
        <f t="shared" ca="1" si="82"/>
        <v>0</v>
      </c>
      <c r="BO38" s="11">
        <f t="shared" ca="1" si="82"/>
        <v>0</v>
      </c>
      <c r="BP38" s="11">
        <f t="shared" ca="1" si="82"/>
        <v>0</v>
      </c>
      <c r="BQ38" s="11">
        <f t="shared" ca="1" si="82"/>
        <v>1.0116559673084922E-201</v>
      </c>
      <c r="BR38" s="11">
        <f t="shared" ca="1" si="57"/>
        <v>0</v>
      </c>
      <c r="BS38" s="11">
        <f t="shared" ca="1" si="57"/>
        <v>0</v>
      </c>
      <c r="BT38" s="11">
        <f t="shared" ca="1" si="57"/>
        <v>0</v>
      </c>
      <c r="BU38" s="11">
        <f t="shared" ca="1" si="57"/>
        <v>0</v>
      </c>
      <c r="BV38" s="11">
        <f t="shared" ca="1" si="57"/>
        <v>0</v>
      </c>
      <c r="BW38" s="11">
        <f t="shared" ca="1" si="57"/>
        <v>0</v>
      </c>
      <c r="BX38" s="11">
        <f t="shared" ca="1" si="57"/>
        <v>0</v>
      </c>
      <c r="BY38" s="11">
        <f t="shared" ca="1" si="57"/>
        <v>0</v>
      </c>
      <c r="BZ38" s="11">
        <f t="shared" ca="1" si="57"/>
        <v>0</v>
      </c>
      <c r="CA38" s="11">
        <f t="shared" ca="1" si="57"/>
        <v>1.0116559673084922E-201</v>
      </c>
      <c r="CB38" s="11">
        <f t="shared" ca="1" si="57"/>
        <v>0</v>
      </c>
      <c r="CC38" s="11">
        <f t="shared" ca="1" si="57"/>
        <v>0</v>
      </c>
      <c r="CD38" s="11">
        <f t="shared" ca="1" si="57"/>
        <v>0</v>
      </c>
      <c r="CE38" s="11">
        <f t="shared" ca="1" si="57"/>
        <v>0</v>
      </c>
      <c r="CF38" s="11">
        <f t="shared" ca="1" si="57"/>
        <v>0</v>
      </c>
      <c r="CG38" s="11">
        <f t="shared" ca="1" si="57"/>
        <v>1.0116559673084922E-201</v>
      </c>
      <c r="CH38" s="11">
        <f t="shared" ca="1" si="73"/>
        <v>0</v>
      </c>
      <c r="CI38" s="11">
        <f t="shared" ca="1" si="73"/>
        <v>0</v>
      </c>
      <c r="CJ38" s="11">
        <f t="shared" ca="1" si="73"/>
        <v>1.0116559673084922E-201</v>
      </c>
      <c r="CK38" s="11">
        <f t="shared" ca="1" si="73"/>
        <v>1.0116559673084922E-201</v>
      </c>
      <c r="CL38" s="11">
        <f t="shared" ca="1" si="73"/>
        <v>0</v>
      </c>
      <c r="CM38" s="11">
        <f t="shared" ca="1" si="73"/>
        <v>0</v>
      </c>
      <c r="CN38" s="11">
        <f t="shared" ca="1" si="73"/>
        <v>0</v>
      </c>
      <c r="CO38" s="11">
        <f t="shared" ca="1" si="73"/>
        <v>0</v>
      </c>
      <c r="CP38" s="11">
        <f t="shared" ca="1" si="73"/>
        <v>0</v>
      </c>
    </row>
    <row r="39" spans="1:94" ht="14.45" x14ac:dyDescent="0.3">
      <c r="A39" t="str">
        <f t="shared" si="2"/>
        <v>E3</v>
      </c>
      <c r="B39">
        <f t="shared" si="3"/>
        <v>227</v>
      </c>
      <c r="C39" s="20">
        <v>10.734975999999996</v>
      </c>
      <c r="D39">
        <v>33</v>
      </c>
      <c r="E39" t="s">
        <v>4</v>
      </c>
      <c r="F39" s="13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5">
        <v>0</v>
      </c>
      <c r="O39" s="13">
        <v>0</v>
      </c>
      <c r="P39" s="14">
        <v>0</v>
      </c>
      <c r="Q39" s="14">
        <v>0</v>
      </c>
      <c r="R39" s="15">
        <v>0</v>
      </c>
      <c r="S39" s="13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5">
        <v>0</v>
      </c>
      <c r="Z39" s="13">
        <v>0</v>
      </c>
      <c r="AA39" s="14">
        <v>0</v>
      </c>
      <c r="AB39" s="14">
        <v>0</v>
      </c>
      <c r="AC39" s="14">
        <v>0</v>
      </c>
      <c r="AD39" s="14">
        <v>0</v>
      </c>
      <c r="AE39" s="15">
        <v>0</v>
      </c>
      <c r="AF39" s="13">
        <v>1</v>
      </c>
      <c r="AG39" s="14">
        <v>1</v>
      </c>
      <c r="AH39" s="14">
        <v>0</v>
      </c>
      <c r="AI39" s="14">
        <v>0</v>
      </c>
      <c r="AJ39" s="14">
        <v>0</v>
      </c>
      <c r="AK39" s="14">
        <v>1</v>
      </c>
      <c r="AL39" s="14">
        <v>0</v>
      </c>
      <c r="AM39" s="14">
        <v>1</v>
      </c>
      <c r="AN39" s="14">
        <v>0</v>
      </c>
      <c r="AO39" s="14">
        <v>0</v>
      </c>
      <c r="AP39" s="14">
        <v>1</v>
      </c>
      <c r="AQ39" s="15">
        <v>1</v>
      </c>
      <c r="AR39" s="13">
        <v>0</v>
      </c>
      <c r="AS39" s="14">
        <v>0</v>
      </c>
      <c r="AT39" s="14">
        <v>0</v>
      </c>
      <c r="AU39" s="15">
        <v>0</v>
      </c>
      <c r="AW39">
        <f t="shared" si="46"/>
        <v>6</v>
      </c>
      <c r="AY39" s="12">
        <f t="shared" ca="1" si="47"/>
        <v>1.686093278847487E-201</v>
      </c>
      <c r="BA39" s="11">
        <f t="shared" ca="1" si="49"/>
        <v>0</v>
      </c>
      <c r="BB39" s="11">
        <f t="shared" ca="1" si="82"/>
        <v>0</v>
      </c>
      <c r="BC39" s="11">
        <f t="shared" ca="1" si="82"/>
        <v>0</v>
      </c>
      <c r="BD39" s="11">
        <f t="shared" ca="1" si="82"/>
        <v>0</v>
      </c>
      <c r="BE39" s="11">
        <f t="shared" ca="1" si="82"/>
        <v>0</v>
      </c>
      <c r="BF39" s="11">
        <f t="shared" ca="1" si="82"/>
        <v>0</v>
      </c>
      <c r="BG39" s="11">
        <f t="shared" ca="1" si="82"/>
        <v>0</v>
      </c>
      <c r="BH39" s="11">
        <f t="shared" ca="1" si="82"/>
        <v>0</v>
      </c>
      <c r="BI39" s="11">
        <f t="shared" ca="1" si="82"/>
        <v>0</v>
      </c>
      <c r="BJ39" s="11">
        <f t="shared" ca="1" si="82"/>
        <v>0</v>
      </c>
      <c r="BK39" s="11">
        <f t="shared" ca="1" si="82"/>
        <v>0</v>
      </c>
      <c r="BL39" s="11">
        <f t="shared" ca="1" si="82"/>
        <v>0</v>
      </c>
      <c r="BM39" s="11">
        <f t="shared" ca="1" si="82"/>
        <v>0</v>
      </c>
      <c r="BN39" s="11">
        <f t="shared" ca="1" si="82"/>
        <v>0</v>
      </c>
      <c r="BO39" s="11">
        <f t="shared" ref="BO39:BO41" ca="1" si="91">T39*T$4*T$1</f>
        <v>0</v>
      </c>
      <c r="BP39" s="11">
        <f t="shared" ref="BP39:BP41" ca="1" si="92">U39*U$4*U$1</f>
        <v>0</v>
      </c>
      <c r="BQ39" s="11">
        <f t="shared" ref="BQ39:BQ41" ca="1" si="93">V39*V$4*V$1</f>
        <v>0</v>
      </c>
      <c r="BR39" s="11">
        <f t="shared" ca="1" si="57"/>
        <v>0</v>
      </c>
      <c r="BS39" s="11">
        <f t="shared" ca="1" si="57"/>
        <v>0</v>
      </c>
      <c r="BT39" s="11">
        <f t="shared" ca="1" si="57"/>
        <v>0</v>
      </c>
      <c r="BU39" s="11">
        <f t="shared" ca="1" si="57"/>
        <v>0</v>
      </c>
      <c r="BV39" s="11">
        <f t="shared" ca="1" si="57"/>
        <v>0</v>
      </c>
      <c r="BW39" s="11">
        <f t="shared" ca="1" si="57"/>
        <v>0</v>
      </c>
      <c r="BX39" s="11">
        <f t="shared" ca="1" si="57"/>
        <v>0</v>
      </c>
      <c r="BY39" s="11">
        <f t="shared" ca="1" si="57"/>
        <v>0</v>
      </c>
      <c r="BZ39" s="11">
        <f t="shared" ca="1" si="57"/>
        <v>0</v>
      </c>
      <c r="CA39" s="11">
        <f t="shared" ca="1" si="57"/>
        <v>1.0116559673084922E-201</v>
      </c>
      <c r="CB39" s="11">
        <f t="shared" ca="1" si="57"/>
        <v>1.0116559673084922E-201</v>
      </c>
      <c r="CC39" s="11">
        <f t="shared" ca="1" si="57"/>
        <v>0</v>
      </c>
      <c r="CD39" s="11">
        <f t="shared" ref="CD39:CD41" ca="1" si="94">AI39*AI$4*AI$1</f>
        <v>0</v>
      </c>
      <c r="CE39" s="11">
        <f t="shared" ref="CE39:CE41" ca="1" si="95">AJ39*AJ$4*AJ$1</f>
        <v>0</v>
      </c>
      <c r="CF39" s="11">
        <f t="shared" ref="CF39:CF41" ca="1" si="96">AK39*AK$4*AK$1</f>
        <v>1.0116559673084922E-201</v>
      </c>
      <c r="CG39" s="11">
        <f t="shared" ref="CG39:CG41" ca="1" si="97">AL39*AL$4*AL$1</f>
        <v>0</v>
      </c>
      <c r="CH39" s="11">
        <f t="shared" ca="1" si="73"/>
        <v>1.0116559673084922E-201</v>
      </c>
      <c r="CI39" s="11">
        <f t="shared" ca="1" si="73"/>
        <v>0</v>
      </c>
      <c r="CJ39" s="11">
        <f t="shared" ca="1" si="73"/>
        <v>0</v>
      </c>
      <c r="CK39" s="11">
        <f t="shared" ca="1" si="73"/>
        <v>1.0116559673084922E-201</v>
      </c>
      <c r="CL39" s="11">
        <f t="shared" ca="1" si="73"/>
        <v>1.0116559673084922E-201</v>
      </c>
      <c r="CM39" s="11">
        <f t="shared" ca="1" si="73"/>
        <v>0</v>
      </c>
      <c r="CN39" s="11">
        <f t="shared" ca="1" si="73"/>
        <v>0</v>
      </c>
      <c r="CO39" s="11">
        <f t="shared" ca="1" si="73"/>
        <v>0</v>
      </c>
      <c r="CP39" s="11">
        <f t="shared" ca="1" si="73"/>
        <v>0</v>
      </c>
    </row>
    <row r="40" spans="1:94" ht="14.45" x14ac:dyDescent="0.3">
      <c r="A40" t="str">
        <f t="shared" si="2"/>
        <v>BA</v>
      </c>
      <c r="B40">
        <f t="shared" si="3"/>
        <v>186</v>
      </c>
      <c r="C40" s="20">
        <v>9.5406591999999968</v>
      </c>
      <c r="D40">
        <v>34</v>
      </c>
      <c r="E40" t="s">
        <v>4</v>
      </c>
      <c r="F40" s="13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5">
        <v>0</v>
      </c>
      <c r="O40" s="13">
        <v>0</v>
      </c>
      <c r="P40" s="14">
        <v>0</v>
      </c>
      <c r="Q40" s="14">
        <v>0</v>
      </c>
      <c r="R40" s="15">
        <v>0</v>
      </c>
      <c r="S40" s="13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5">
        <v>0</v>
      </c>
      <c r="Z40" s="13">
        <v>0</v>
      </c>
      <c r="AA40" s="14">
        <v>0</v>
      </c>
      <c r="AB40" s="14">
        <v>0</v>
      </c>
      <c r="AC40" s="14">
        <v>0</v>
      </c>
      <c r="AD40" s="14">
        <v>0</v>
      </c>
      <c r="AE40" s="15">
        <v>0</v>
      </c>
      <c r="AF40" s="13">
        <v>0</v>
      </c>
      <c r="AG40" s="14">
        <v>1</v>
      </c>
      <c r="AH40" s="14">
        <v>0</v>
      </c>
      <c r="AI40" s="14">
        <v>1</v>
      </c>
      <c r="AJ40" s="14">
        <v>1</v>
      </c>
      <c r="AK40" s="14">
        <v>0</v>
      </c>
      <c r="AL40" s="14">
        <v>1</v>
      </c>
      <c r="AM40" s="14">
        <v>0</v>
      </c>
      <c r="AN40" s="14">
        <v>1</v>
      </c>
      <c r="AO40" s="14">
        <v>0</v>
      </c>
      <c r="AP40" s="14">
        <v>0</v>
      </c>
      <c r="AQ40" s="15">
        <v>0</v>
      </c>
      <c r="AR40" s="13">
        <v>0</v>
      </c>
      <c r="AS40" s="14">
        <v>0</v>
      </c>
      <c r="AT40" s="14">
        <v>0</v>
      </c>
      <c r="AU40" s="15">
        <v>0</v>
      </c>
      <c r="AW40">
        <f t="shared" si="46"/>
        <v>5</v>
      </c>
      <c r="AY40" s="12">
        <f t="shared" ca="1" si="47"/>
        <v>1.686093278847487E-201</v>
      </c>
      <c r="BA40" s="11">
        <f t="shared" ca="1" si="49"/>
        <v>0</v>
      </c>
      <c r="BB40" s="11">
        <f t="shared" ref="BB40:BQ48" ca="1" si="98">G40*G$4*G$1</f>
        <v>0</v>
      </c>
      <c r="BC40" s="11">
        <f t="shared" ref="BC40:BC41" ca="1" si="99">H40*H$4*H$1</f>
        <v>0</v>
      </c>
      <c r="BD40" s="11">
        <f t="shared" ref="BD40:BD41" ca="1" si="100">I40*I$4*I$1</f>
        <v>0</v>
      </c>
      <c r="BE40" s="11">
        <f t="shared" ref="BE40:BE41" ca="1" si="101">J40*J$4*J$1</f>
        <v>0</v>
      </c>
      <c r="BF40" s="11">
        <f t="shared" ref="BF40:BF41" ca="1" si="102">K40*K$4*K$1</f>
        <v>0</v>
      </c>
      <c r="BG40" s="11">
        <f t="shared" ref="BG40:BG41" ca="1" si="103">L40*L$4*L$1</f>
        <v>0</v>
      </c>
      <c r="BH40" s="11">
        <f t="shared" ref="BH40:BH41" ca="1" si="104">M40*M$4*M$1</f>
        <v>0</v>
      </c>
      <c r="BI40" s="11">
        <f t="shared" ref="BI40:BI41" ca="1" si="105">N40*N$4*N$1</f>
        <v>0</v>
      </c>
      <c r="BJ40" s="11">
        <f t="shared" ref="BJ40:BJ41" ca="1" si="106">O40*O$4*O$1</f>
        <v>0</v>
      </c>
      <c r="BK40" s="11">
        <f t="shared" ref="BK40:BK41" ca="1" si="107">P40*P$4*P$1</f>
        <v>0</v>
      </c>
      <c r="BL40" s="11">
        <f t="shared" ref="BL40:BL41" ca="1" si="108">Q40*Q$4*Q$1</f>
        <v>0</v>
      </c>
      <c r="BM40" s="11">
        <f t="shared" ref="BM40:BM41" ca="1" si="109">R40*R$4*R$1</f>
        <v>0</v>
      </c>
      <c r="BN40" s="11">
        <f t="shared" ref="BN40:BN41" ca="1" si="110">S40*S$4*S$1</f>
        <v>0</v>
      </c>
      <c r="BO40" s="11">
        <f t="shared" ca="1" si="91"/>
        <v>0</v>
      </c>
      <c r="BP40" s="11">
        <f t="shared" ca="1" si="92"/>
        <v>0</v>
      </c>
      <c r="BQ40" s="11">
        <f t="shared" ca="1" si="93"/>
        <v>0</v>
      </c>
      <c r="BR40" s="11">
        <f t="shared" ref="BR40:CG48" ca="1" si="111">W40*W$4*W$1</f>
        <v>0</v>
      </c>
      <c r="BS40" s="11">
        <f t="shared" ref="BS40:BS41" ca="1" si="112">X40*X$4*X$1</f>
        <v>0</v>
      </c>
      <c r="BT40" s="11">
        <f t="shared" ref="BT40:BT41" ca="1" si="113">Y40*Y$4*Y$1</f>
        <v>0</v>
      </c>
      <c r="BU40" s="11">
        <f t="shared" ref="BU40:BU41" ca="1" si="114">Z40*Z$4*Z$1</f>
        <v>0</v>
      </c>
      <c r="BV40" s="11">
        <f t="shared" ref="BV40:BV41" ca="1" si="115">AA40*AA$4*AA$1</f>
        <v>0</v>
      </c>
      <c r="BW40" s="11">
        <f t="shared" ref="BW40:BW41" ca="1" si="116">AB40*AB$4*AB$1</f>
        <v>0</v>
      </c>
      <c r="BX40" s="11">
        <f t="shared" ref="BX40:BX41" ca="1" si="117">AC40*AC$4*AC$1</f>
        <v>0</v>
      </c>
      <c r="BY40" s="11">
        <f t="shared" ref="BY40:BY41" ca="1" si="118">AD40*AD$4*AD$1</f>
        <v>0</v>
      </c>
      <c r="BZ40" s="11">
        <f t="shared" ref="BZ40:BZ41" ca="1" si="119">AE40*AE$4*AE$1</f>
        <v>0</v>
      </c>
      <c r="CA40" s="11">
        <f t="shared" ref="CA40:CA41" ca="1" si="120">AF40*AF$4*AF$1</f>
        <v>0</v>
      </c>
      <c r="CB40" s="11">
        <f t="shared" ref="CB40:CB41" ca="1" si="121">AG40*AG$4*AG$1</f>
        <v>1.0116559673084922E-201</v>
      </c>
      <c r="CC40" s="11">
        <f t="shared" ref="CC40:CC41" ca="1" si="122">AH40*AH$4*AH$1</f>
        <v>0</v>
      </c>
      <c r="CD40" s="11">
        <f t="shared" ca="1" si="94"/>
        <v>1.0116559673084922E-201</v>
      </c>
      <c r="CE40" s="11">
        <f t="shared" ca="1" si="95"/>
        <v>1.0116559673084922E-201</v>
      </c>
      <c r="CF40" s="11">
        <f t="shared" ca="1" si="96"/>
        <v>0</v>
      </c>
      <c r="CG40" s="11">
        <f t="shared" ca="1" si="97"/>
        <v>1.0116559673084922E-201</v>
      </c>
      <c r="CH40" s="11">
        <f t="shared" ca="1" si="73"/>
        <v>0</v>
      </c>
      <c r="CI40" s="11">
        <f t="shared" ca="1" si="73"/>
        <v>1.0116559673084922E-201</v>
      </c>
      <c r="CJ40" s="11">
        <f t="shared" ca="1" si="73"/>
        <v>0</v>
      </c>
      <c r="CK40" s="11">
        <f t="shared" ca="1" si="73"/>
        <v>0</v>
      </c>
      <c r="CL40" s="11">
        <f t="shared" ca="1" si="73"/>
        <v>0</v>
      </c>
      <c r="CM40" s="11">
        <f t="shared" ca="1" si="73"/>
        <v>0</v>
      </c>
      <c r="CN40" s="11">
        <f t="shared" ca="1" si="73"/>
        <v>0</v>
      </c>
      <c r="CO40" s="11">
        <f t="shared" ca="1" si="73"/>
        <v>0</v>
      </c>
      <c r="CP40" s="11">
        <f t="shared" ca="1" si="73"/>
        <v>0</v>
      </c>
    </row>
    <row r="41" spans="1:94" ht="14.45" x14ac:dyDescent="0.3">
      <c r="A41" t="str">
        <f t="shared" si="2"/>
        <v>6F</v>
      </c>
      <c r="B41">
        <f t="shared" si="3"/>
        <v>111</v>
      </c>
      <c r="C41" s="20">
        <v>7.3749913600000001</v>
      </c>
      <c r="D41">
        <v>35</v>
      </c>
      <c r="E41" t="s">
        <v>4</v>
      </c>
      <c r="F41" s="13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5">
        <v>0</v>
      </c>
      <c r="O41" s="13">
        <v>0</v>
      </c>
      <c r="P41" s="14">
        <v>0</v>
      </c>
      <c r="Q41" s="14">
        <v>0</v>
      </c>
      <c r="R41" s="15">
        <v>0</v>
      </c>
      <c r="S41" s="13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5">
        <v>0</v>
      </c>
      <c r="Z41" s="13">
        <v>0</v>
      </c>
      <c r="AA41" s="14">
        <v>0</v>
      </c>
      <c r="AB41" s="14">
        <v>0</v>
      </c>
      <c r="AC41" s="14">
        <v>0</v>
      </c>
      <c r="AD41" s="14">
        <v>0</v>
      </c>
      <c r="AE41" s="15">
        <v>0</v>
      </c>
      <c r="AF41" s="13">
        <v>0</v>
      </c>
      <c r="AG41" s="14">
        <v>0</v>
      </c>
      <c r="AH41" s="14">
        <v>0</v>
      </c>
      <c r="AI41" s="14">
        <v>1</v>
      </c>
      <c r="AJ41" s="14">
        <v>0</v>
      </c>
      <c r="AK41" s="14">
        <v>0</v>
      </c>
      <c r="AL41" s="14">
        <v>0</v>
      </c>
      <c r="AM41" s="14">
        <v>1</v>
      </c>
      <c r="AN41" s="14">
        <v>0</v>
      </c>
      <c r="AO41" s="14">
        <v>0</v>
      </c>
      <c r="AP41" s="14">
        <v>0</v>
      </c>
      <c r="AQ41" s="15">
        <v>0</v>
      </c>
      <c r="AR41" s="13">
        <v>0</v>
      </c>
      <c r="AS41" s="14">
        <v>0</v>
      </c>
      <c r="AT41" s="14">
        <v>0</v>
      </c>
      <c r="AU41" s="15">
        <v>0</v>
      </c>
      <c r="AW41">
        <f t="shared" si="46"/>
        <v>2</v>
      </c>
      <c r="AY41" s="12">
        <f t="shared" ca="1" si="47"/>
        <v>1.686093278847487E-201</v>
      </c>
      <c r="BA41" s="11">
        <f t="shared" ca="1" si="49"/>
        <v>0</v>
      </c>
      <c r="BB41" s="11">
        <f t="shared" ca="1" si="98"/>
        <v>0</v>
      </c>
      <c r="BC41" s="11">
        <f t="shared" ca="1" si="99"/>
        <v>0</v>
      </c>
      <c r="BD41" s="11">
        <f t="shared" ca="1" si="100"/>
        <v>0</v>
      </c>
      <c r="BE41" s="11">
        <f t="shared" ca="1" si="101"/>
        <v>0</v>
      </c>
      <c r="BF41" s="11">
        <f t="shared" ca="1" si="102"/>
        <v>0</v>
      </c>
      <c r="BG41" s="11">
        <f t="shared" ca="1" si="103"/>
        <v>0</v>
      </c>
      <c r="BH41" s="11">
        <f t="shared" ca="1" si="104"/>
        <v>0</v>
      </c>
      <c r="BI41" s="11">
        <f t="shared" ca="1" si="105"/>
        <v>0</v>
      </c>
      <c r="BJ41" s="11">
        <f t="shared" ca="1" si="106"/>
        <v>0</v>
      </c>
      <c r="BK41" s="11">
        <f t="shared" ca="1" si="107"/>
        <v>0</v>
      </c>
      <c r="BL41" s="11">
        <f t="shared" ca="1" si="108"/>
        <v>0</v>
      </c>
      <c r="BM41" s="11">
        <f t="shared" ca="1" si="109"/>
        <v>0</v>
      </c>
      <c r="BN41" s="11">
        <f t="shared" ca="1" si="110"/>
        <v>0</v>
      </c>
      <c r="BO41" s="11">
        <f t="shared" ca="1" si="91"/>
        <v>0</v>
      </c>
      <c r="BP41" s="11">
        <f t="shared" ca="1" si="92"/>
        <v>0</v>
      </c>
      <c r="BQ41" s="11">
        <f t="shared" ca="1" si="93"/>
        <v>0</v>
      </c>
      <c r="BR41" s="11">
        <f t="shared" ca="1" si="111"/>
        <v>0</v>
      </c>
      <c r="BS41" s="11">
        <f t="shared" ca="1" si="112"/>
        <v>0</v>
      </c>
      <c r="BT41" s="11">
        <f t="shared" ca="1" si="113"/>
        <v>0</v>
      </c>
      <c r="BU41" s="11">
        <f t="shared" ca="1" si="114"/>
        <v>0</v>
      </c>
      <c r="BV41" s="11">
        <f t="shared" ca="1" si="115"/>
        <v>0</v>
      </c>
      <c r="BW41" s="11">
        <f t="shared" ca="1" si="116"/>
        <v>0</v>
      </c>
      <c r="BX41" s="11">
        <f t="shared" ca="1" si="117"/>
        <v>0</v>
      </c>
      <c r="BY41" s="11">
        <f t="shared" ca="1" si="118"/>
        <v>0</v>
      </c>
      <c r="BZ41" s="11">
        <f t="shared" ca="1" si="119"/>
        <v>0</v>
      </c>
      <c r="CA41" s="11">
        <f t="shared" ca="1" si="120"/>
        <v>0</v>
      </c>
      <c r="CB41" s="11">
        <f t="shared" ca="1" si="121"/>
        <v>0</v>
      </c>
      <c r="CC41" s="11">
        <f t="shared" ca="1" si="122"/>
        <v>0</v>
      </c>
      <c r="CD41" s="11">
        <f t="shared" ca="1" si="94"/>
        <v>1.0116559673084922E-201</v>
      </c>
      <c r="CE41" s="11">
        <f t="shared" ca="1" si="95"/>
        <v>0</v>
      </c>
      <c r="CF41" s="11">
        <f t="shared" ca="1" si="96"/>
        <v>0</v>
      </c>
      <c r="CG41" s="11">
        <f t="shared" ca="1" si="97"/>
        <v>0</v>
      </c>
      <c r="CH41" s="11">
        <f t="shared" ca="1" si="73"/>
        <v>1.0116559673084922E-201</v>
      </c>
      <c r="CI41" s="11">
        <f t="shared" ca="1" si="73"/>
        <v>0</v>
      </c>
      <c r="CJ41" s="11">
        <f t="shared" ca="1" si="73"/>
        <v>0</v>
      </c>
      <c r="CK41" s="11">
        <f t="shared" ca="1" si="73"/>
        <v>0</v>
      </c>
      <c r="CL41" s="11">
        <f t="shared" ca="1" si="73"/>
        <v>0</v>
      </c>
      <c r="CM41" s="11">
        <f t="shared" ca="1" si="73"/>
        <v>0</v>
      </c>
      <c r="CN41" s="11">
        <f t="shared" ca="1" si="73"/>
        <v>0</v>
      </c>
      <c r="CO41" s="11">
        <f t="shared" ca="1" si="73"/>
        <v>0</v>
      </c>
      <c r="CP41" s="11">
        <f t="shared" ca="1" si="73"/>
        <v>0</v>
      </c>
    </row>
    <row r="42" spans="1:94" ht="14.45" x14ac:dyDescent="0.3">
      <c r="A42" t="str">
        <f t="shared" si="2"/>
        <v>FA</v>
      </c>
      <c r="B42">
        <f t="shared" si="3"/>
        <v>250</v>
      </c>
      <c r="C42" s="20">
        <v>11.398527999999997</v>
      </c>
      <c r="D42">
        <v>36</v>
      </c>
      <c r="E42" t="s">
        <v>4</v>
      </c>
      <c r="F42" s="13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5">
        <v>0</v>
      </c>
      <c r="O42" s="13">
        <v>0</v>
      </c>
      <c r="P42" s="14">
        <v>0</v>
      </c>
      <c r="Q42" s="14">
        <v>0</v>
      </c>
      <c r="R42" s="15">
        <v>0</v>
      </c>
      <c r="S42" s="13">
        <v>0</v>
      </c>
      <c r="T42" s="14">
        <v>0</v>
      </c>
      <c r="U42" s="14">
        <v>0</v>
      </c>
      <c r="V42" s="14">
        <v>1</v>
      </c>
      <c r="W42" s="14">
        <v>0</v>
      </c>
      <c r="X42" s="14">
        <v>0</v>
      </c>
      <c r="Y42" s="15">
        <v>1</v>
      </c>
      <c r="Z42" s="13">
        <v>0</v>
      </c>
      <c r="AA42" s="14">
        <v>1</v>
      </c>
      <c r="AB42" s="14">
        <v>1</v>
      </c>
      <c r="AC42" s="14">
        <v>0</v>
      </c>
      <c r="AD42" s="14">
        <v>0</v>
      </c>
      <c r="AE42" s="15">
        <v>0</v>
      </c>
      <c r="AF42" s="13">
        <v>0</v>
      </c>
      <c r="AG42" s="14">
        <v>0</v>
      </c>
      <c r="AH42" s="14">
        <v>0</v>
      </c>
      <c r="AI42" s="14">
        <v>0</v>
      </c>
      <c r="AJ42" s="14">
        <v>0</v>
      </c>
      <c r="AK42" s="14">
        <v>1</v>
      </c>
      <c r="AL42" s="14">
        <v>0</v>
      </c>
      <c r="AM42" s="14">
        <v>0</v>
      </c>
      <c r="AN42" s="14">
        <v>0</v>
      </c>
      <c r="AO42" s="14">
        <v>0</v>
      </c>
      <c r="AP42" s="14">
        <v>1</v>
      </c>
      <c r="AQ42" s="15">
        <v>0</v>
      </c>
      <c r="AR42" s="13">
        <v>0</v>
      </c>
      <c r="AS42" s="14">
        <v>0</v>
      </c>
      <c r="AT42" s="14">
        <v>0</v>
      </c>
      <c r="AU42" s="15">
        <v>0</v>
      </c>
      <c r="AW42">
        <f t="shared" si="46"/>
        <v>6</v>
      </c>
      <c r="AY42" s="12">
        <f t="shared" ca="1" si="47"/>
        <v>1.686093278847487E-201</v>
      </c>
      <c r="BA42" s="11">
        <f t="shared" ca="1" si="49"/>
        <v>0</v>
      </c>
      <c r="BB42" s="11">
        <f t="shared" ca="1" si="98"/>
        <v>0</v>
      </c>
      <c r="BC42" s="11">
        <f t="shared" ca="1" si="98"/>
        <v>0</v>
      </c>
      <c r="BD42" s="11">
        <f t="shared" ca="1" si="98"/>
        <v>0</v>
      </c>
      <c r="BE42" s="11">
        <f t="shared" ca="1" si="98"/>
        <v>0</v>
      </c>
      <c r="BF42" s="11">
        <f t="shared" ca="1" si="98"/>
        <v>0</v>
      </c>
      <c r="BG42" s="11">
        <f t="shared" ca="1" si="98"/>
        <v>0</v>
      </c>
      <c r="BH42" s="11">
        <f t="shared" ca="1" si="98"/>
        <v>0</v>
      </c>
      <c r="BI42" s="11">
        <f t="shared" ca="1" si="98"/>
        <v>0</v>
      </c>
      <c r="BJ42" s="11">
        <f t="shared" ca="1" si="98"/>
        <v>0</v>
      </c>
      <c r="BK42" s="11">
        <f t="shared" ca="1" si="98"/>
        <v>0</v>
      </c>
      <c r="BL42" s="11">
        <f t="shared" ca="1" si="98"/>
        <v>0</v>
      </c>
      <c r="BM42" s="11">
        <f t="shared" ca="1" si="98"/>
        <v>0</v>
      </c>
      <c r="BN42" s="11">
        <f t="shared" ca="1" si="98"/>
        <v>0</v>
      </c>
      <c r="BO42" s="11">
        <f t="shared" ca="1" si="98"/>
        <v>0</v>
      </c>
      <c r="BP42" s="11">
        <f t="shared" ca="1" si="98"/>
        <v>0</v>
      </c>
      <c r="BQ42" s="11">
        <f t="shared" ca="1" si="98"/>
        <v>1.0116559673084922E-201</v>
      </c>
      <c r="BR42" s="11">
        <f t="shared" ca="1" si="111"/>
        <v>0</v>
      </c>
      <c r="BS42" s="11">
        <f t="shared" ca="1" si="111"/>
        <v>0</v>
      </c>
      <c r="BT42" s="11">
        <f t="shared" ca="1" si="111"/>
        <v>1.0116559673084922E-201</v>
      </c>
      <c r="BU42" s="11">
        <f t="shared" ca="1" si="111"/>
        <v>0</v>
      </c>
      <c r="BV42" s="11">
        <f t="shared" ca="1" si="111"/>
        <v>1.0116559673084922E-201</v>
      </c>
      <c r="BW42" s="11">
        <f t="shared" ca="1" si="111"/>
        <v>1.0116559673084922E-201</v>
      </c>
      <c r="BX42" s="11">
        <f t="shared" ca="1" si="111"/>
        <v>0</v>
      </c>
      <c r="BY42" s="11">
        <f t="shared" ca="1" si="111"/>
        <v>0</v>
      </c>
      <c r="BZ42" s="11">
        <f t="shared" ca="1" si="111"/>
        <v>0</v>
      </c>
      <c r="CA42" s="11">
        <f t="shared" ca="1" si="111"/>
        <v>0</v>
      </c>
      <c r="CB42" s="11">
        <f t="shared" ca="1" si="111"/>
        <v>0</v>
      </c>
      <c r="CC42" s="11">
        <f t="shared" ca="1" si="111"/>
        <v>0</v>
      </c>
      <c r="CD42" s="11">
        <f t="shared" ca="1" si="111"/>
        <v>0</v>
      </c>
      <c r="CE42" s="11">
        <f t="shared" ca="1" si="111"/>
        <v>0</v>
      </c>
      <c r="CF42" s="11">
        <f t="shared" ca="1" si="111"/>
        <v>1.0116559673084922E-201</v>
      </c>
      <c r="CG42" s="11">
        <f t="shared" ca="1" si="111"/>
        <v>0</v>
      </c>
      <c r="CH42" s="11">
        <f t="shared" ca="1" si="73"/>
        <v>0</v>
      </c>
      <c r="CI42" s="11">
        <f t="shared" ca="1" si="73"/>
        <v>0</v>
      </c>
      <c r="CJ42" s="11">
        <f t="shared" ca="1" si="73"/>
        <v>0</v>
      </c>
      <c r="CK42" s="11">
        <f t="shared" ca="1" si="73"/>
        <v>1.0116559673084922E-201</v>
      </c>
      <c r="CL42" s="11">
        <f t="shared" ca="1" si="73"/>
        <v>0</v>
      </c>
      <c r="CM42" s="11">
        <f t="shared" ca="1" si="73"/>
        <v>0</v>
      </c>
      <c r="CN42" s="11">
        <f t="shared" ca="1" si="73"/>
        <v>0</v>
      </c>
      <c r="CO42" s="11">
        <f t="shared" ca="1" si="73"/>
        <v>0</v>
      </c>
      <c r="CP42" s="11">
        <f t="shared" ca="1" si="73"/>
        <v>0</v>
      </c>
    </row>
    <row r="43" spans="1:94" ht="14.45" x14ac:dyDescent="0.3">
      <c r="A43" t="str">
        <f t="shared" si="2"/>
        <v>D8</v>
      </c>
      <c r="B43">
        <f t="shared" si="3"/>
        <v>216</v>
      </c>
      <c r="C43" s="20">
        <v>10.417177599999997</v>
      </c>
      <c r="D43">
        <v>37</v>
      </c>
      <c r="E43" t="s">
        <v>4</v>
      </c>
      <c r="F43" s="13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5">
        <v>0</v>
      </c>
      <c r="O43" s="13">
        <v>0</v>
      </c>
      <c r="P43" s="14">
        <v>0</v>
      </c>
      <c r="Q43" s="14">
        <v>0</v>
      </c>
      <c r="R43" s="15">
        <v>0</v>
      </c>
      <c r="S43" s="13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5">
        <v>0</v>
      </c>
      <c r="Z43" s="13">
        <v>0</v>
      </c>
      <c r="AA43" s="14">
        <v>0</v>
      </c>
      <c r="AB43" s="14">
        <v>0</v>
      </c>
      <c r="AC43" s="14">
        <v>0</v>
      </c>
      <c r="AD43" s="14">
        <v>0</v>
      </c>
      <c r="AE43" s="15">
        <v>0</v>
      </c>
      <c r="AF43" s="13">
        <v>0</v>
      </c>
      <c r="AG43" s="14">
        <v>0</v>
      </c>
      <c r="AH43" s="14">
        <v>0</v>
      </c>
      <c r="AI43" s="14">
        <v>0</v>
      </c>
      <c r="AJ43" s="14">
        <v>0</v>
      </c>
      <c r="AK43" s="14">
        <v>1</v>
      </c>
      <c r="AL43" s="14">
        <v>1</v>
      </c>
      <c r="AM43" s="14">
        <v>0</v>
      </c>
      <c r="AN43" s="14">
        <v>0</v>
      </c>
      <c r="AO43" s="14">
        <v>1</v>
      </c>
      <c r="AP43" s="14">
        <v>0</v>
      </c>
      <c r="AQ43" s="15">
        <v>1</v>
      </c>
      <c r="AR43" s="13">
        <v>0</v>
      </c>
      <c r="AS43" s="14">
        <v>0</v>
      </c>
      <c r="AT43" s="14">
        <v>0</v>
      </c>
      <c r="AU43" s="15">
        <v>0</v>
      </c>
      <c r="AW43">
        <f t="shared" si="46"/>
        <v>4</v>
      </c>
      <c r="AY43" s="12">
        <f t="shared" ca="1" si="47"/>
        <v>1.686093278847487E-201</v>
      </c>
      <c r="BA43" s="11">
        <f t="shared" ca="1" si="49"/>
        <v>0</v>
      </c>
      <c r="BB43" s="11">
        <f t="shared" ca="1" si="98"/>
        <v>0</v>
      </c>
      <c r="BC43" s="11">
        <f t="shared" ca="1" si="98"/>
        <v>0</v>
      </c>
      <c r="BD43" s="11">
        <f t="shared" ca="1" si="98"/>
        <v>0</v>
      </c>
      <c r="BE43" s="11">
        <f t="shared" ca="1" si="98"/>
        <v>0</v>
      </c>
      <c r="BF43" s="11">
        <f t="shared" ca="1" si="98"/>
        <v>0</v>
      </c>
      <c r="BG43" s="11">
        <f t="shared" ca="1" si="98"/>
        <v>0</v>
      </c>
      <c r="BH43" s="11">
        <f t="shared" ca="1" si="98"/>
        <v>0</v>
      </c>
      <c r="BI43" s="11">
        <f t="shared" ca="1" si="98"/>
        <v>0</v>
      </c>
      <c r="BJ43" s="11">
        <f t="shared" ca="1" si="98"/>
        <v>0</v>
      </c>
      <c r="BK43" s="11">
        <f t="shared" ca="1" si="98"/>
        <v>0</v>
      </c>
      <c r="BL43" s="11">
        <f t="shared" ca="1" si="98"/>
        <v>0</v>
      </c>
      <c r="BM43" s="11">
        <f t="shared" ca="1" si="98"/>
        <v>0</v>
      </c>
      <c r="BN43" s="11">
        <f t="shared" ca="1" si="98"/>
        <v>0</v>
      </c>
      <c r="BO43" s="11">
        <f t="shared" ca="1" si="98"/>
        <v>0</v>
      </c>
      <c r="BP43" s="11">
        <f t="shared" ca="1" si="98"/>
        <v>0</v>
      </c>
      <c r="BQ43" s="11">
        <f t="shared" ca="1" si="98"/>
        <v>0</v>
      </c>
      <c r="BR43" s="11">
        <f t="shared" ca="1" si="111"/>
        <v>0</v>
      </c>
      <c r="BS43" s="11">
        <f t="shared" ca="1" si="111"/>
        <v>0</v>
      </c>
      <c r="BT43" s="11">
        <f t="shared" ca="1" si="111"/>
        <v>0</v>
      </c>
      <c r="BU43" s="11">
        <f t="shared" ca="1" si="111"/>
        <v>0</v>
      </c>
      <c r="BV43" s="11">
        <f t="shared" ca="1" si="111"/>
        <v>0</v>
      </c>
      <c r="BW43" s="11">
        <f t="shared" ca="1" si="111"/>
        <v>0</v>
      </c>
      <c r="BX43" s="11">
        <f t="shared" ca="1" si="111"/>
        <v>0</v>
      </c>
      <c r="BY43" s="11">
        <f t="shared" ca="1" si="111"/>
        <v>0</v>
      </c>
      <c r="BZ43" s="11">
        <f t="shared" ca="1" si="111"/>
        <v>0</v>
      </c>
      <c r="CA43" s="11">
        <f t="shared" ca="1" si="111"/>
        <v>0</v>
      </c>
      <c r="CB43" s="11">
        <f t="shared" ca="1" si="111"/>
        <v>0</v>
      </c>
      <c r="CC43" s="11">
        <f t="shared" ca="1" si="111"/>
        <v>0</v>
      </c>
      <c r="CD43" s="11">
        <f t="shared" ca="1" si="111"/>
        <v>0</v>
      </c>
      <c r="CE43" s="11">
        <f t="shared" ca="1" si="111"/>
        <v>0</v>
      </c>
      <c r="CF43" s="11">
        <f t="shared" ca="1" si="111"/>
        <v>1.0116559673084922E-201</v>
      </c>
      <c r="CG43" s="11">
        <f t="shared" ca="1" si="111"/>
        <v>1.0116559673084922E-201</v>
      </c>
      <c r="CH43" s="11">
        <f t="shared" ca="1" si="73"/>
        <v>0</v>
      </c>
      <c r="CI43" s="11">
        <f t="shared" ca="1" si="73"/>
        <v>0</v>
      </c>
      <c r="CJ43" s="11">
        <f t="shared" ca="1" si="73"/>
        <v>1.0116559673084922E-201</v>
      </c>
      <c r="CK43" s="11">
        <f t="shared" ca="1" si="73"/>
        <v>0</v>
      </c>
      <c r="CL43" s="11">
        <f t="shared" ca="1" si="73"/>
        <v>1.0116559673084922E-201</v>
      </c>
      <c r="CM43" s="11">
        <f t="shared" ca="1" si="73"/>
        <v>0</v>
      </c>
      <c r="CN43" s="11">
        <f t="shared" ca="1" si="73"/>
        <v>0</v>
      </c>
      <c r="CO43" s="11">
        <f t="shared" ca="1" si="73"/>
        <v>0</v>
      </c>
      <c r="CP43" s="11">
        <f t="shared" ca="1" si="73"/>
        <v>0</v>
      </c>
    </row>
    <row r="44" spans="1:94" ht="14.45" x14ac:dyDescent="0.3">
      <c r="A44" t="str">
        <f t="shared" si="2"/>
        <v>A9</v>
      </c>
      <c r="B44">
        <f t="shared" si="3"/>
        <v>169</v>
      </c>
      <c r="C44" s="20">
        <v>9.0535167999999988</v>
      </c>
      <c r="D44">
        <v>38</v>
      </c>
      <c r="E44" t="s">
        <v>4</v>
      </c>
      <c r="F44" s="13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5">
        <v>0</v>
      </c>
      <c r="O44" s="13">
        <v>0</v>
      </c>
      <c r="P44" s="14">
        <v>0</v>
      </c>
      <c r="Q44" s="14">
        <v>0</v>
      </c>
      <c r="R44" s="15">
        <v>0</v>
      </c>
      <c r="S44" s="13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5">
        <v>0</v>
      </c>
      <c r="Z44" s="13">
        <v>0</v>
      </c>
      <c r="AA44" s="14">
        <v>0</v>
      </c>
      <c r="AB44" s="14">
        <v>0</v>
      </c>
      <c r="AC44" s="14">
        <v>0</v>
      </c>
      <c r="AD44" s="14">
        <v>0</v>
      </c>
      <c r="AE44" s="15">
        <v>0</v>
      </c>
      <c r="AF44" s="13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  <c r="AL44" s="14">
        <v>1</v>
      </c>
      <c r="AM44" s="14">
        <v>0</v>
      </c>
      <c r="AN44" s="14">
        <v>0</v>
      </c>
      <c r="AO44" s="14">
        <v>0</v>
      </c>
      <c r="AP44" s="14">
        <v>1</v>
      </c>
      <c r="AQ44" s="15">
        <v>0</v>
      </c>
      <c r="AR44" s="13">
        <v>1</v>
      </c>
      <c r="AS44" s="14">
        <v>0</v>
      </c>
      <c r="AT44" s="14">
        <v>0</v>
      </c>
      <c r="AU44" s="15">
        <v>0</v>
      </c>
      <c r="AW44">
        <f t="shared" si="46"/>
        <v>3</v>
      </c>
      <c r="AY44" s="12">
        <f t="shared" ca="1" si="47"/>
        <v>1.686093278847487E-201</v>
      </c>
      <c r="BA44" s="11">
        <f t="shared" ca="1" si="49"/>
        <v>0</v>
      </c>
      <c r="BB44" s="11">
        <f t="shared" ca="1" si="98"/>
        <v>0</v>
      </c>
      <c r="BC44" s="11">
        <f t="shared" ca="1" si="98"/>
        <v>0</v>
      </c>
      <c r="BD44" s="11">
        <f t="shared" ca="1" si="98"/>
        <v>0</v>
      </c>
      <c r="BE44" s="11">
        <f t="shared" ca="1" si="98"/>
        <v>0</v>
      </c>
      <c r="BF44" s="11">
        <f t="shared" ca="1" si="98"/>
        <v>0</v>
      </c>
      <c r="BG44" s="11">
        <f t="shared" ca="1" si="98"/>
        <v>0</v>
      </c>
      <c r="BH44" s="11">
        <f t="shared" ca="1" si="98"/>
        <v>0</v>
      </c>
      <c r="BI44" s="11">
        <f t="shared" ca="1" si="98"/>
        <v>0</v>
      </c>
      <c r="BJ44" s="11">
        <f t="shared" ca="1" si="98"/>
        <v>0</v>
      </c>
      <c r="BK44" s="11">
        <f t="shared" ca="1" si="98"/>
        <v>0</v>
      </c>
      <c r="BL44" s="11">
        <f t="shared" ca="1" si="98"/>
        <v>0</v>
      </c>
      <c r="BM44" s="11">
        <f t="shared" ca="1" si="98"/>
        <v>0</v>
      </c>
      <c r="BN44" s="11">
        <f t="shared" ca="1" si="98"/>
        <v>0</v>
      </c>
      <c r="BO44" s="11">
        <f t="shared" ca="1" si="98"/>
        <v>0</v>
      </c>
      <c r="BP44" s="11">
        <f t="shared" ca="1" si="98"/>
        <v>0</v>
      </c>
      <c r="BQ44" s="11">
        <f t="shared" ca="1" si="98"/>
        <v>0</v>
      </c>
      <c r="BR44" s="11">
        <f t="shared" ca="1" si="111"/>
        <v>0</v>
      </c>
      <c r="BS44" s="11">
        <f t="shared" ca="1" si="111"/>
        <v>0</v>
      </c>
      <c r="BT44" s="11">
        <f t="shared" ca="1" si="111"/>
        <v>0</v>
      </c>
      <c r="BU44" s="11">
        <f t="shared" ca="1" si="111"/>
        <v>0</v>
      </c>
      <c r="BV44" s="11">
        <f t="shared" ca="1" si="111"/>
        <v>0</v>
      </c>
      <c r="BW44" s="11">
        <f t="shared" ca="1" si="111"/>
        <v>0</v>
      </c>
      <c r="BX44" s="11">
        <f t="shared" ca="1" si="111"/>
        <v>0</v>
      </c>
      <c r="BY44" s="11">
        <f t="shared" ca="1" si="111"/>
        <v>0</v>
      </c>
      <c r="BZ44" s="11">
        <f t="shared" ca="1" si="111"/>
        <v>0</v>
      </c>
      <c r="CA44" s="11">
        <f t="shared" ca="1" si="111"/>
        <v>0</v>
      </c>
      <c r="CB44" s="11">
        <f t="shared" ca="1" si="111"/>
        <v>0</v>
      </c>
      <c r="CC44" s="11">
        <f t="shared" ca="1" si="111"/>
        <v>0</v>
      </c>
      <c r="CD44" s="11">
        <f t="shared" ca="1" si="111"/>
        <v>0</v>
      </c>
      <c r="CE44" s="11">
        <f t="shared" ca="1" si="111"/>
        <v>0</v>
      </c>
      <c r="CF44" s="11">
        <f t="shared" ca="1" si="111"/>
        <v>0</v>
      </c>
      <c r="CG44" s="11">
        <f t="shared" ca="1" si="111"/>
        <v>1.0116559673084922E-201</v>
      </c>
      <c r="CH44" s="11">
        <f t="shared" ca="1" si="73"/>
        <v>0</v>
      </c>
      <c r="CI44" s="11">
        <f t="shared" ca="1" si="73"/>
        <v>0</v>
      </c>
      <c r="CJ44" s="11">
        <f t="shared" ca="1" si="73"/>
        <v>0</v>
      </c>
      <c r="CK44" s="11">
        <f t="shared" ca="1" si="73"/>
        <v>1.0116559673084922E-201</v>
      </c>
      <c r="CL44" s="11">
        <f t="shared" ca="1" si="73"/>
        <v>0</v>
      </c>
      <c r="CM44" s="11">
        <f t="shared" ca="1" si="73"/>
        <v>1.0116559673084922E-201</v>
      </c>
      <c r="CN44" s="11">
        <f t="shared" ca="1" si="73"/>
        <v>0</v>
      </c>
      <c r="CO44" s="11">
        <f t="shared" ca="1" si="73"/>
        <v>0</v>
      </c>
      <c r="CP44" s="11">
        <f t="shared" ca="1" si="73"/>
        <v>0</v>
      </c>
    </row>
    <row r="45" spans="1:94" ht="14.45" x14ac:dyDescent="0.3">
      <c r="A45" t="str">
        <f t="shared" si="2"/>
        <v>64</v>
      </c>
      <c r="B45">
        <f t="shared" si="3"/>
        <v>100</v>
      </c>
      <c r="C45" s="20">
        <v>7.07051008</v>
      </c>
      <c r="D45">
        <v>39</v>
      </c>
      <c r="E45" t="s">
        <v>5</v>
      </c>
      <c r="F45" s="13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5">
        <v>0</v>
      </c>
      <c r="O45" s="13">
        <v>0</v>
      </c>
      <c r="P45" s="14">
        <v>0</v>
      </c>
      <c r="Q45" s="14">
        <v>0</v>
      </c>
      <c r="R45" s="15">
        <v>0</v>
      </c>
      <c r="S45" s="13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5">
        <v>0</v>
      </c>
      <c r="Z45" s="13">
        <v>0</v>
      </c>
      <c r="AA45" s="14">
        <v>0</v>
      </c>
      <c r="AB45" s="14">
        <v>0</v>
      </c>
      <c r="AC45" s="14">
        <v>0</v>
      </c>
      <c r="AD45" s="14">
        <v>0</v>
      </c>
      <c r="AE45" s="15">
        <v>0</v>
      </c>
      <c r="AF45" s="13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0</v>
      </c>
      <c r="AQ45" s="15">
        <v>1</v>
      </c>
      <c r="AR45" s="13">
        <v>0</v>
      </c>
      <c r="AS45" s="14">
        <v>1</v>
      </c>
      <c r="AT45" s="14">
        <v>1</v>
      </c>
      <c r="AU45" s="15">
        <v>0</v>
      </c>
      <c r="AW45">
        <f t="shared" si="46"/>
        <v>3</v>
      </c>
      <c r="AY45" s="12">
        <f t="shared" ca="1" si="47"/>
        <v>1.686093278847487E-201</v>
      </c>
      <c r="BA45" s="11">
        <f t="shared" ca="1" si="49"/>
        <v>0</v>
      </c>
      <c r="BB45" s="11">
        <f t="shared" ca="1" si="98"/>
        <v>0</v>
      </c>
      <c r="BC45" s="11">
        <f t="shared" ca="1" si="98"/>
        <v>0</v>
      </c>
      <c r="BD45" s="11">
        <f t="shared" ca="1" si="98"/>
        <v>0</v>
      </c>
      <c r="BE45" s="11">
        <f t="shared" ca="1" si="98"/>
        <v>0</v>
      </c>
      <c r="BF45" s="11">
        <f t="shared" ca="1" si="98"/>
        <v>0</v>
      </c>
      <c r="BG45" s="11">
        <f t="shared" ca="1" si="98"/>
        <v>0</v>
      </c>
      <c r="BH45" s="11">
        <f t="shared" ca="1" si="98"/>
        <v>0</v>
      </c>
      <c r="BI45" s="11">
        <f t="shared" ca="1" si="98"/>
        <v>0</v>
      </c>
      <c r="BJ45" s="11">
        <f t="shared" ca="1" si="98"/>
        <v>0</v>
      </c>
      <c r="BK45" s="11">
        <f t="shared" ca="1" si="98"/>
        <v>0</v>
      </c>
      <c r="BL45" s="11">
        <f t="shared" ca="1" si="98"/>
        <v>0</v>
      </c>
      <c r="BM45" s="11">
        <f t="shared" ca="1" si="98"/>
        <v>0</v>
      </c>
      <c r="BN45" s="11">
        <f t="shared" ca="1" si="98"/>
        <v>0</v>
      </c>
      <c r="BO45" s="11">
        <f t="shared" ca="1" si="98"/>
        <v>0</v>
      </c>
      <c r="BP45" s="11">
        <f t="shared" ca="1" si="98"/>
        <v>0</v>
      </c>
      <c r="BQ45" s="11">
        <f t="shared" ca="1" si="98"/>
        <v>0</v>
      </c>
      <c r="BR45" s="11">
        <f t="shared" ca="1" si="111"/>
        <v>0</v>
      </c>
      <c r="BS45" s="11">
        <f t="shared" ca="1" si="111"/>
        <v>0</v>
      </c>
      <c r="BT45" s="11">
        <f t="shared" ca="1" si="111"/>
        <v>0</v>
      </c>
      <c r="BU45" s="11">
        <f t="shared" ca="1" si="111"/>
        <v>0</v>
      </c>
      <c r="BV45" s="11">
        <f t="shared" ca="1" si="111"/>
        <v>0</v>
      </c>
      <c r="BW45" s="11">
        <f t="shared" ca="1" si="111"/>
        <v>0</v>
      </c>
      <c r="BX45" s="11">
        <f t="shared" ca="1" si="111"/>
        <v>0</v>
      </c>
      <c r="BY45" s="11">
        <f t="shared" ca="1" si="111"/>
        <v>0</v>
      </c>
      <c r="BZ45" s="11">
        <f t="shared" ca="1" si="111"/>
        <v>0</v>
      </c>
      <c r="CA45" s="11">
        <f t="shared" ca="1" si="111"/>
        <v>0</v>
      </c>
      <c r="CB45" s="11">
        <f t="shared" ca="1" si="111"/>
        <v>0</v>
      </c>
      <c r="CC45" s="11">
        <f t="shared" ca="1" si="111"/>
        <v>0</v>
      </c>
      <c r="CD45" s="11">
        <f t="shared" ca="1" si="111"/>
        <v>0</v>
      </c>
      <c r="CE45" s="11">
        <f t="shared" ca="1" si="111"/>
        <v>0</v>
      </c>
      <c r="CF45" s="11">
        <f t="shared" ca="1" si="111"/>
        <v>0</v>
      </c>
      <c r="CG45" s="11">
        <f t="shared" ca="1" si="111"/>
        <v>0</v>
      </c>
      <c r="CH45" s="11">
        <f t="shared" ca="1" si="73"/>
        <v>0</v>
      </c>
      <c r="CI45" s="11">
        <f t="shared" ca="1" si="73"/>
        <v>0</v>
      </c>
      <c r="CJ45" s="11">
        <f t="shared" ca="1" si="73"/>
        <v>0</v>
      </c>
      <c r="CK45" s="11">
        <f t="shared" ca="1" si="73"/>
        <v>0</v>
      </c>
      <c r="CL45" s="11">
        <f t="shared" ca="1" si="73"/>
        <v>1.0116559673084922E-201</v>
      </c>
      <c r="CM45" s="11">
        <f t="shared" ca="1" si="73"/>
        <v>0</v>
      </c>
      <c r="CN45" s="11">
        <f t="shared" ca="1" si="73"/>
        <v>1.0116559673084922E-201</v>
      </c>
      <c r="CO45" s="11">
        <f t="shared" ca="1" si="73"/>
        <v>1.0116559673084922E-201</v>
      </c>
      <c r="CP45" s="11">
        <f t="shared" ca="1" si="73"/>
        <v>0</v>
      </c>
    </row>
    <row r="46" spans="1:94" ht="14.45" x14ac:dyDescent="0.3">
      <c r="A46" t="str">
        <f t="shared" si="2"/>
        <v>2E</v>
      </c>
      <c r="B46">
        <f t="shared" si="3"/>
        <v>46</v>
      </c>
      <c r="C46" s="20">
        <v>5.506306047999999</v>
      </c>
      <c r="D46">
        <v>40</v>
      </c>
      <c r="E46" t="s">
        <v>5</v>
      </c>
      <c r="F46" s="13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5">
        <v>0</v>
      </c>
      <c r="O46" s="13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5">
        <v>0</v>
      </c>
      <c r="Z46" s="13">
        <v>0</v>
      </c>
      <c r="AA46" s="14">
        <v>0</v>
      </c>
      <c r="AB46" s="14">
        <v>0</v>
      </c>
      <c r="AC46" s="14">
        <v>0</v>
      </c>
      <c r="AD46" s="14">
        <v>0</v>
      </c>
      <c r="AE46" s="15">
        <v>0</v>
      </c>
      <c r="AF46" s="13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  <c r="AL46" s="14">
        <v>0</v>
      </c>
      <c r="AM46" s="14">
        <v>0</v>
      </c>
      <c r="AN46" s="14">
        <v>0</v>
      </c>
      <c r="AO46" s="14">
        <v>0</v>
      </c>
      <c r="AP46" s="14">
        <v>0</v>
      </c>
      <c r="AQ46" s="15">
        <v>0</v>
      </c>
      <c r="AR46" s="13">
        <v>1</v>
      </c>
      <c r="AS46" s="14">
        <v>0</v>
      </c>
      <c r="AT46" s="14">
        <v>1</v>
      </c>
      <c r="AU46" s="15">
        <v>1</v>
      </c>
      <c r="AW46">
        <f t="shared" si="46"/>
        <v>3</v>
      </c>
      <c r="AY46" s="12">
        <f t="shared" ca="1" si="47"/>
        <v>1.686093278847487E-201</v>
      </c>
      <c r="BA46" s="11">
        <f t="shared" ca="1" si="49"/>
        <v>0</v>
      </c>
      <c r="BB46" s="11">
        <f t="shared" ca="1" si="98"/>
        <v>0</v>
      </c>
      <c r="BC46" s="11">
        <f t="shared" ca="1" si="98"/>
        <v>0</v>
      </c>
      <c r="BD46" s="11">
        <f t="shared" ca="1" si="98"/>
        <v>0</v>
      </c>
      <c r="BE46" s="11">
        <f t="shared" ca="1" si="98"/>
        <v>0</v>
      </c>
      <c r="BF46" s="11">
        <f t="shared" ca="1" si="98"/>
        <v>0</v>
      </c>
      <c r="BG46" s="11">
        <f t="shared" ca="1" si="98"/>
        <v>0</v>
      </c>
      <c r="BH46" s="11">
        <f t="shared" ca="1" si="98"/>
        <v>0</v>
      </c>
      <c r="BI46" s="11">
        <f t="shared" ca="1" si="98"/>
        <v>0</v>
      </c>
      <c r="BJ46" s="11">
        <f t="shared" ca="1" si="98"/>
        <v>0</v>
      </c>
      <c r="BK46" s="11">
        <f t="shared" ca="1" si="98"/>
        <v>0</v>
      </c>
      <c r="BL46" s="11">
        <f t="shared" ca="1" si="98"/>
        <v>0</v>
      </c>
      <c r="BM46" s="11">
        <f t="shared" ca="1" si="98"/>
        <v>0</v>
      </c>
      <c r="BN46" s="11">
        <f t="shared" ca="1" si="98"/>
        <v>0</v>
      </c>
      <c r="BO46" s="11">
        <f t="shared" ca="1" si="98"/>
        <v>0</v>
      </c>
      <c r="BP46" s="11">
        <f t="shared" ca="1" si="98"/>
        <v>0</v>
      </c>
      <c r="BQ46" s="11">
        <f t="shared" ca="1" si="98"/>
        <v>0</v>
      </c>
      <c r="BR46" s="11">
        <f t="shared" ca="1" si="111"/>
        <v>0</v>
      </c>
      <c r="BS46" s="11">
        <f t="shared" ca="1" si="111"/>
        <v>0</v>
      </c>
      <c r="BT46" s="11">
        <f t="shared" ca="1" si="111"/>
        <v>0</v>
      </c>
      <c r="BU46" s="11">
        <f t="shared" ca="1" si="111"/>
        <v>0</v>
      </c>
      <c r="BV46" s="11">
        <f t="shared" ca="1" si="111"/>
        <v>0</v>
      </c>
      <c r="BW46" s="11">
        <f t="shared" ca="1" si="111"/>
        <v>0</v>
      </c>
      <c r="BX46" s="11">
        <f t="shared" ca="1" si="111"/>
        <v>0</v>
      </c>
      <c r="BY46" s="11">
        <f t="shared" ca="1" si="111"/>
        <v>0</v>
      </c>
      <c r="BZ46" s="11">
        <f t="shared" ca="1" si="111"/>
        <v>0</v>
      </c>
      <c r="CA46" s="11">
        <f t="shared" ca="1" si="111"/>
        <v>0</v>
      </c>
      <c r="CB46" s="11">
        <f t="shared" ca="1" si="111"/>
        <v>0</v>
      </c>
      <c r="CC46" s="11">
        <f t="shared" ca="1" si="111"/>
        <v>0</v>
      </c>
      <c r="CD46" s="11">
        <f t="shared" ca="1" si="111"/>
        <v>0</v>
      </c>
      <c r="CE46" s="11">
        <f t="shared" ca="1" si="111"/>
        <v>0</v>
      </c>
      <c r="CF46" s="11">
        <f t="shared" ca="1" si="111"/>
        <v>0</v>
      </c>
      <c r="CG46" s="11">
        <f t="shared" ca="1" si="111"/>
        <v>0</v>
      </c>
      <c r="CH46" s="11">
        <f t="shared" ca="1" si="73"/>
        <v>0</v>
      </c>
      <c r="CI46" s="11">
        <f t="shared" ca="1" si="73"/>
        <v>0</v>
      </c>
      <c r="CJ46" s="11">
        <f t="shared" ca="1" si="73"/>
        <v>0</v>
      </c>
      <c r="CK46" s="11">
        <f t="shared" ca="1" si="73"/>
        <v>0</v>
      </c>
      <c r="CL46" s="11">
        <f t="shared" ca="1" si="73"/>
        <v>0</v>
      </c>
      <c r="CM46" s="11">
        <f t="shared" ca="1" si="73"/>
        <v>1.0116559673084922E-201</v>
      </c>
      <c r="CN46" s="11">
        <f t="shared" ca="1" si="73"/>
        <v>0</v>
      </c>
      <c r="CO46" s="11">
        <f t="shared" ca="1" si="73"/>
        <v>1.0116559673084922E-201</v>
      </c>
      <c r="CP46" s="11">
        <f t="shared" ca="1" si="73"/>
        <v>1.0116559673084922E-201</v>
      </c>
    </row>
    <row r="47" spans="1:94" ht="14.45" x14ac:dyDescent="0.3">
      <c r="A47" t="str">
        <f t="shared" si="2"/>
        <v>2E</v>
      </c>
      <c r="B47">
        <f t="shared" si="3"/>
        <v>46</v>
      </c>
      <c r="C47" s="20">
        <v>5.5063060479999999</v>
      </c>
      <c r="D47">
        <v>41</v>
      </c>
      <c r="E47" t="s">
        <v>5</v>
      </c>
      <c r="F47" s="13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5">
        <v>0</v>
      </c>
      <c r="O47" s="13">
        <v>0</v>
      </c>
      <c r="P47" s="14">
        <v>0</v>
      </c>
      <c r="Q47" s="14">
        <v>0</v>
      </c>
      <c r="R47" s="15">
        <v>0</v>
      </c>
      <c r="S47" s="13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5">
        <v>0</v>
      </c>
      <c r="Z47" s="13">
        <v>0</v>
      </c>
      <c r="AA47" s="14">
        <v>0</v>
      </c>
      <c r="AB47" s="14">
        <v>0</v>
      </c>
      <c r="AC47" s="14">
        <v>0</v>
      </c>
      <c r="AD47" s="14">
        <v>0</v>
      </c>
      <c r="AE47" s="15">
        <v>0</v>
      </c>
      <c r="AF47" s="13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4">
        <v>0</v>
      </c>
      <c r="AP47" s="14">
        <v>0</v>
      </c>
      <c r="AQ47" s="15">
        <v>0</v>
      </c>
      <c r="AR47" s="13">
        <v>1</v>
      </c>
      <c r="AS47" s="14">
        <v>1</v>
      </c>
      <c r="AT47" s="14">
        <v>0</v>
      </c>
      <c r="AU47" s="15">
        <v>1</v>
      </c>
      <c r="AW47">
        <f t="shared" si="46"/>
        <v>3</v>
      </c>
      <c r="AY47" s="12">
        <f t="shared" ca="1" si="47"/>
        <v>1.686093278847487E-201</v>
      </c>
      <c r="BA47" s="11">
        <f t="shared" ca="1" si="49"/>
        <v>0</v>
      </c>
      <c r="BB47" s="11">
        <f t="shared" ca="1" si="98"/>
        <v>0</v>
      </c>
      <c r="BC47" s="11">
        <f t="shared" ca="1" si="98"/>
        <v>0</v>
      </c>
      <c r="BD47" s="11">
        <f t="shared" ca="1" si="98"/>
        <v>0</v>
      </c>
      <c r="BE47" s="11">
        <f t="shared" ca="1" si="98"/>
        <v>0</v>
      </c>
      <c r="BF47" s="11">
        <f t="shared" ca="1" si="98"/>
        <v>0</v>
      </c>
      <c r="BG47" s="11">
        <f t="shared" ca="1" si="98"/>
        <v>0</v>
      </c>
      <c r="BH47" s="11">
        <f t="shared" ca="1" si="98"/>
        <v>0</v>
      </c>
      <c r="BI47" s="11">
        <f t="shared" ca="1" si="98"/>
        <v>0</v>
      </c>
      <c r="BJ47" s="11">
        <f t="shared" ca="1" si="98"/>
        <v>0</v>
      </c>
      <c r="BK47" s="11">
        <f t="shared" ca="1" si="98"/>
        <v>0</v>
      </c>
      <c r="BL47" s="11">
        <f t="shared" ca="1" si="98"/>
        <v>0</v>
      </c>
      <c r="BM47" s="11">
        <f t="shared" ca="1" si="98"/>
        <v>0</v>
      </c>
      <c r="BN47" s="11">
        <f t="shared" ca="1" si="98"/>
        <v>0</v>
      </c>
      <c r="BO47" s="11">
        <f t="shared" ca="1" si="98"/>
        <v>0</v>
      </c>
      <c r="BP47" s="11">
        <f t="shared" ca="1" si="98"/>
        <v>0</v>
      </c>
      <c r="BQ47" s="11">
        <f t="shared" ca="1" si="98"/>
        <v>0</v>
      </c>
      <c r="BR47" s="11">
        <f t="shared" ca="1" si="111"/>
        <v>0</v>
      </c>
      <c r="BS47" s="11">
        <f t="shared" ca="1" si="111"/>
        <v>0</v>
      </c>
      <c r="BT47" s="11">
        <f t="shared" ca="1" si="111"/>
        <v>0</v>
      </c>
      <c r="BU47" s="11">
        <f t="shared" ca="1" si="111"/>
        <v>0</v>
      </c>
      <c r="BV47" s="11">
        <f t="shared" ca="1" si="111"/>
        <v>0</v>
      </c>
      <c r="BW47" s="11">
        <f t="shared" ca="1" si="111"/>
        <v>0</v>
      </c>
      <c r="BX47" s="11">
        <f t="shared" ca="1" si="111"/>
        <v>0</v>
      </c>
      <c r="BY47" s="11">
        <f t="shared" ca="1" si="111"/>
        <v>0</v>
      </c>
      <c r="BZ47" s="11">
        <f t="shared" ca="1" si="111"/>
        <v>0</v>
      </c>
      <c r="CA47" s="11">
        <f t="shared" ca="1" si="111"/>
        <v>0</v>
      </c>
      <c r="CB47" s="11">
        <f t="shared" ca="1" si="111"/>
        <v>0</v>
      </c>
      <c r="CC47" s="11">
        <f t="shared" ca="1" si="111"/>
        <v>0</v>
      </c>
      <c r="CD47" s="11">
        <f t="shared" ca="1" si="111"/>
        <v>0</v>
      </c>
      <c r="CE47" s="11">
        <f t="shared" ca="1" si="111"/>
        <v>0</v>
      </c>
      <c r="CF47" s="11">
        <f t="shared" ca="1" si="111"/>
        <v>0</v>
      </c>
      <c r="CG47" s="11">
        <f t="shared" ca="1" si="111"/>
        <v>0</v>
      </c>
      <c r="CH47" s="11">
        <f t="shared" ca="1" si="73"/>
        <v>0</v>
      </c>
      <c r="CI47" s="11">
        <f t="shared" ca="1" si="73"/>
        <v>0</v>
      </c>
      <c r="CJ47" s="11">
        <f t="shared" ca="1" si="73"/>
        <v>0</v>
      </c>
      <c r="CK47" s="11">
        <f t="shared" ca="1" si="73"/>
        <v>0</v>
      </c>
      <c r="CL47" s="11">
        <f t="shared" ca="1" si="73"/>
        <v>0</v>
      </c>
      <c r="CM47" s="11">
        <f t="shared" ca="1" si="73"/>
        <v>1.0116559673084922E-201</v>
      </c>
      <c r="CN47" s="11">
        <f t="shared" ca="1" si="73"/>
        <v>1.0116559673084922E-201</v>
      </c>
      <c r="CO47" s="11">
        <f t="shared" ca="1" si="73"/>
        <v>0</v>
      </c>
      <c r="CP47" s="11">
        <f t="shared" ca="1" si="73"/>
        <v>1.0116559673084922E-201</v>
      </c>
    </row>
    <row r="48" spans="1:94" ht="14.45" x14ac:dyDescent="0.3">
      <c r="A48" t="str">
        <f>RIGHT("0" &amp; DEC2HEX(B48),2)</f>
        <v>00</v>
      </c>
      <c r="B48">
        <f t="shared" ref="B48" si="123">ROUND((C48-$A$49)/$A$51*255,0)</f>
        <v>0</v>
      </c>
      <c r="C48" s="20">
        <v>4.1837836288000005</v>
      </c>
      <c r="D48">
        <v>42</v>
      </c>
      <c r="E48" t="s">
        <v>5</v>
      </c>
      <c r="F48" s="16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5">
        <v>0</v>
      </c>
      <c r="O48" s="13">
        <v>0</v>
      </c>
      <c r="P48" s="14">
        <v>0</v>
      </c>
      <c r="Q48" s="14">
        <v>0</v>
      </c>
      <c r="R48" s="15">
        <v>0</v>
      </c>
      <c r="S48" s="13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5">
        <v>0</v>
      </c>
      <c r="Z48" s="13">
        <v>0</v>
      </c>
      <c r="AA48" s="14">
        <v>0</v>
      </c>
      <c r="AB48" s="14">
        <v>0</v>
      </c>
      <c r="AC48" s="14">
        <v>0</v>
      </c>
      <c r="AD48" s="14">
        <v>0</v>
      </c>
      <c r="AE48" s="15">
        <v>0</v>
      </c>
      <c r="AF48" s="13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  <c r="AL48" s="14">
        <v>0</v>
      </c>
      <c r="AM48" s="14">
        <v>0</v>
      </c>
      <c r="AN48" s="14">
        <v>0</v>
      </c>
      <c r="AO48" s="14">
        <v>0</v>
      </c>
      <c r="AP48" s="14">
        <v>0</v>
      </c>
      <c r="AQ48" s="15">
        <v>0</v>
      </c>
      <c r="AR48" s="13">
        <v>0</v>
      </c>
      <c r="AS48" s="14">
        <v>1</v>
      </c>
      <c r="AT48" s="14">
        <v>1</v>
      </c>
      <c r="AU48" s="15">
        <v>0</v>
      </c>
      <c r="AW48">
        <f t="shared" si="46"/>
        <v>2</v>
      </c>
      <c r="AY48" s="12">
        <f t="shared" ca="1" si="47"/>
        <v>1.686093278847487E-201</v>
      </c>
      <c r="BA48" s="11">
        <f t="shared" ca="1" si="49"/>
        <v>0</v>
      </c>
      <c r="BB48" s="11">
        <f t="shared" ca="1" si="98"/>
        <v>0</v>
      </c>
      <c r="BC48" s="11">
        <f t="shared" ca="1" si="98"/>
        <v>0</v>
      </c>
      <c r="BD48" s="11">
        <f t="shared" ca="1" si="98"/>
        <v>0</v>
      </c>
      <c r="BE48" s="11">
        <f t="shared" ca="1" si="98"/>
        <v>0</v>
      </c>
      <c r="BF48" s="11">
        <f t="shared" ca="1" si="98"/>
        <v>0</v>
      </c>
      <c r="BG48" s="11">
        <f t="shared" ca="1" si="98"/>
        <v>0</v>
      </c>
      <c r="BH48" s="11">
        <f t="shared" ca="1" si="98"/>
        <v>0</v>
      </c>
      <c r="BI48" s="11">
        <f t="shared" ca="1" si="98"/>
        <v>0</v>
      </c>
      <c r="BJ48" s="11">
        <f t="shared" ca="1" si="98"/>
        <v>0</v>
      </c>
      <c r="BK48" s="11">
        <f t="shared" ca="1" si="98"/>
        <v>0</v>
      </c>
      <c r="BL48" s="11">
        <f t="shared" ca="1" si="98"/>
        <v>0</v>
      </c>
      <c r="BM48" s="11">
        <f t="shared" ca="1" si="98"/>
        <v>0</v>
      </c>
      <c r="BN48" s="11">
        <f t="shared" ca="1" si="98"/>
        <v>0</v>
      </c>
      <c r="BO48" s="11">
        <f t="shared" ca="1" si="98"/>
        <v>0</v>
      </c>
      <c r="BP48" s="11">
        <f t="shared" ca="1" si="98"/>
        <v>0</v>
      </c>
      <c r="BQ48" s="11">
        <f t="shared" ca="1" si="98"/>
        <v>0</v>
      </c>
      <c r="BR48" s="11">
        <f t="shared" ca="1" si="111"/>
        <v>0</v>
      </c>
      <c r="BS48" s="11">
        <f t="shared" ca="1" si="111"/>
        <v>0</v>
      </c>
      <c r="BT48" s="11">
        <f t="shared" ca="1" si="111"/>
        <v>0</v>
      </c>
      <c r="BU48" s="11">
        <f t="shared" ca="1" si="111"/>
        <v>0</v>
      </c>
      <c r="BV48" s="11">
        <f t="shared" ca="1" si="111"/>
        <v>0</v>
      </c>
      <c r="BW48" s="11">
        <f t="shared" ca="1" si="111"/>
        <v>0</v>
      </c>
      <c r="BX48" s="11">
        <f t="shared" ca="1" si="111"/>
        <v>0</v>
      </c>
      <c r="BY48" s="11">
        <f t="shared" ca="1" si="111"/>
        <v>0</v>
      </c>
      <c r="BZ48" s="11">
        <f t="shared" ca="1" si="111"/>
        <v>0</v>
      </c>
      <c r="CA48" s="11">
        <f t="shared" ca="1" si="111"/>
        <v>0</v>
      </c>
      <c r="CB48" s="11">
        <f t="shared" ca="1" si="111"/>
        <v>0</v>
      </c>
      <c r="CC48" s="11">
        <f t="shared" ca="1" si="111"/>
        <v>0</v>
      </c>
      <c r="CD48" s="11">
        <f t="shared" ca="1" si="111"/>
        <v>0</v>
      </c>
      <c r="CE48" s="11">
        <f t="shared" ca="1" si="111"/>
        <v>0</v>
      </c>
      <c r="CF48" s="11">
        <f t="shared" ca="1" si="111"/>
        <v>0</v>
      </c>
      <c r="CG48" s="11">
        <f t="shared" ca="1" si="111"/>
        <v>0</v>
      </c>
      <c r="CH48" s="11">
        <f t="shared" ca="1" si="73"/>
        <v>0</v>
      </c>
      <c r="CI48" s="11">
        <f t="shared" ca="1" si="73"/>
        <v>0</v>
      </c>
      <c r="CJ48" s="11">
        <f t="shared" ca="1" si="73"/>
        <v>0</v>
      </c>
      <c r="CK48" s="11">
        <f t="shared" ca="1" si="73"/>
        <v>0</v>
      </c>
      <c r="CL48" s="11">
        <f t="shared" ca="1" si="73"/>
        <v>0</v>
      </c>
      <c r="CM48" s="11">
        <f t="shared" ca="1" si="73"/>
        <v>0</v>
      </c>
      <c r="CN48" s="11">
        <f t="shared" ca="1" si="73"/>
        <v>1.0116559673084922E-201</v>
      </c>
      <c r="CO48" s="11">
        <f t="shared" ca="1" si="73"/>
        <v>1.0116559673084922E-201</v>
      </c>
      <c r="CP48" s="11">
        <f t="shared" ca="1" si="73"/>
        <v>0</v>
      </c>
    </row>
    <row r="49" spans="1:49" ht="14.45" x14ac:dyDescent="0.3">
      <c r="A49" s="21">
        <f>MIN(C7:C48)</f>
        <v>4.1837836288000005</v>
      </c>
    </row>
    <row r="50" spans="1:49" ht="14.45" x14ac:dyDescent="0.3">
      <c r="A50" s="21">
        <f>MAX(C7:C48)</f>
        <v>11.541375999999994</v>
      </c>
      <c r="F50" s="3">
        <f>SUM(F7:F48)</f>
        <v>3</v>
      </c>
      <c r="G50" s="1">
        <f t="shared" ref="G50:AU50" si="124">SUM(G7:G48)</f>
        <v>4</v>
      </c>
      <c r="H50" s="1">
        <f t="shared" si="124"/>
        <v>4</v>
      </c>
      <c r="I50" s="1">
        <f t="shared" si="124"/>
        <v>4</v>
      </c>
      <c r="J50" s="1">
        <f t="shared" si="124"/>
        <v>6</v>
      </c>
      <c r="K50" s="1">
        <f t="shared" si="124"/>
        <v>3</v>
      </c>
      <c r="L50" s="1">
        <f t="shared" si="124"/>
        <v>4</v>
      </c>
      <c r="M50" s="1">
        <f t="shared" si="124"/>
        <v>4</v>
      </c>
      <c r="N50" s="2">
        <f t="shared" si="124"/>
        <v>3</v>
      </c>
      <c r="O50" s="3">
        <f t="shared" si="124"/>
        <v>3</v>
      </c>
      <c r="P50" s="1">
        <f t="shared" si="124"/>
        <v>3</v>
      </c>
      <c r="Q50" s="1">
        <f t="shared" si="124"/>
        <v>4</v>
      </c>
      <c r="R50" s="2">
        <f t="shared" si="124"/>
        <v>2</v>
      </c>
      <c r="S50" s="3">
        <f t="shared" si="124"/>
        <v>3</v>
      </c>
      <c r="T50" s="1">
        <f t="shared" si="124"/>
        <v>4</v>
      </c>
      <c r="U50" s="1">
        <f t="shared" si="124"/>
        <v>3</v>
      </c>
      <c r="V50" s="1">
        <f t="shared" si="124"/>
        <v>6</v>
      </c>
      <c r="W50" s="1">
        <f t="shared" si="124"/>
        <v>4</v>
      </c>
      <c r="X50" s="1">
        <f t="shared" si="124"/>
        <v>4</v>
      </c>
      <c r="Y50" s="2">
        <f t="shared" si="124"/>
        <v>6</v>
      </c>
      <c r="Z50" s="3">
        <f t="shared" si="124"/>
        <v>6</v>
      </c>
      <c r="AA50" s="1">
        <f t="shared" si="124"/>
        <v>4</v>
      </c>
      <c r="AB50" s="1">
        <f t="shared" si="124"/>
        <v>6</v>
      </c>
      <c r="AC50" s="1">
        <f t="shared" si="124"/>
        <v>3</v>
      </c>
      <c r="AD50" s="1">
        <f t="shared" si="124"/>
        <v>3</v>
      </c>
      <c r="AE50" s="2">
        <f t="shared" si="124"/>
        <v>2</v>
      </c>
      <c r="AF50" s="3">
        <f t="shared" si="124"/>
        <v>4</v>
      </c>
      <c r="AG50" s="1">
        <f t="shared" si="124"/>
        <v>5</v>
      </c>
      <c r="AH50" s="1">
        <f t="shared" si="124"/>
        <v>3</v>
      </c>
      <c r="AI50" s="1">
        <f t="shared" si="124"/>
        <v>5</v>
      </c>
      <c r="AJ50" s="1">
        <f t="shared" si="124"/>
        <v>4</v>
      </c>
      <c r="AK50" s="1">
        <f t="shared" si="124"/>
        <v>5</v>
      </c>
      <c r="AL50" s="1">
        <f t="shared" si="124"/>
        <v>6</v>
      </c>
      <c r="AM50" s="1">
        <f t="shared" si="124"/>
        <v>5</v>
      </c>
      <c r="AN50" s="1">
        <f t="shared" si="124"/>
        <v>2</v>
      </c>
      <c r="AO50" s="1">
        <f t="shared" si="124"/>
        <v>6</v>
      </c>
      <c r="AP50" s="1">
        <f t="shared" si="124"/>
        <v>4</v>
      </c>
      <c r="AQ50" s="2">
        <f t="shared" si="124"/>
        <v>3</v>
      </c>
      <c r="AR50" s="3">
        <f t="shared" si="124"/>
        <v>3</v>
      </c>
      <c r="AS50" s="1">
        <f t="shared" si="124"/>
        <v>3</v>
      </c>
      <c r="AT50" s="1">
        <f t="shared" si="124"/>
        <v>3</v>
      </c>
      <c r="AU50" s="2">
        <f t="shared" si="124"/>
        <v>2</v>
      </c>
    </row>
    <row r="51" spans="1:49" ht="14.45" x14ac:dyDescent="0.3">
      <c r="A51" s="21">
        <f>A50-A49</f>
        <v>7.3575923711999938</v>
      </c>
    </row>
    <row r="53" spans="1:49" ht="14.45" x14ac:dyDescent="0.3">
      <c r="B53" s="24"/>
      <c r="C53" s="24">
        <f>SUMIF($E$7:$E$48,$E53,C$7:C$48)</f>
        <v>73.954281676799965</v>
      </c>
      <c r="D53">
        <f>COUNTIF($E$7:$E$48,E53)</f>
        <v>9</v>
      </c>
      <c r="E53" t="s">
        <v>0</v>
      </c>
      <c r="F53" s="3">
        <f t="shared" ref="F53:O58" si="125">SUMIF($E$7:$E$48,$E53,F$7:F$48)*($E53&lt;&gt;F$6)</f>
        <v>0</v>
      </c>
      <c r="G53" s="1">
        <f t="shared" si="125"/>
        <v>0</v>
      </c>
      <c r="H53" s="1">
        <f t="shared" si="125"/>
        <v>0</v>
      </c>
      <c r="I53" s="1">
        <f t="shared" si="125"/>
        <v>0</v>
      </c>
      <c r="J53" s="1">
        <f t="shared" si="125"/>
        <v>0</v>
      </c>
      <c r="K53" s="1">
        <f t="shared" si="125"/>
        <v>0</v>
      </c>
      <c r="L53" s="1">
        <f t="shared" si="125"/>
        <v>0</v>
      </c>
      <c r="M53" s="1">
        <f t="shared" si="125"/>
        <v>0</v>
      </c>
      <c r="N53" s="2">
        <f t="shared" si="125"/>
        <v>0</v>
      </c>
      <c r="O53" s="3">
        <f t="shared" si="125"/>
        <v>1</v>
      </c>
      <c r="P53" s="1">
        <f t="shared" ref="P53:Y58" si="126">SUMIF($E$7:$E$48,$E53,P$7:P$48)*($E53&lt;&gt;P$6)</f>
        <v>0</v>
      </c>
      <c r="Q53" s="1">
        <f t="shared" si="126"/>
        <v>0</v>
      </c>
      <c r="R53" s="2">
        <f t="shared" si="126"/>
        <v>0</v>
      </c>
      <c r="S53" s="3">
        <f t="shared" si="126"/>
        <v>1</v>
      </c>
      <c r="T53" s="1">
        <f t="shared" si="126"/>
        <v>0</v>
      </c>
      <c r="U53" s="1">
        <f t="shared" si="126"/>
        <v>0</v>
      </c>
      <c r="V53" s="1">
        <f t="shared" si="126"/>
        <v>0</v>
      </c>
      <c r="W53" s="1">
        <f t="shared" si="126"/>
        <v>0</v>
      </c>
      <c r="X53" s="1">
        <f t="shared" si="126"/>
        <v>0</v>
      </c>
      <c r="Y53" s="2">
        <f t="shared" si="126"/>
        <v>0</v>
      </c>
      <c r="Z53" s="3">
        <f t="shared" ref="Z53:AI58" si="127">SUMIF($E$7:$E$48,$E53,Z$7:Z$48)*($E53&lt;&gt;Z$6)</f>
        <v>0</v>
      </c>
      <c r="AA53" s="1">
        <f t="shared" si="127"/>
        <v>0</v>
      </c>
      <c r="AB53" s="1">
        <f t="shared" si="127"/>
        <v>0</v>
      </c>
      <c r="AC53" s="1">
        <f t="shared" si="127"/>
        <v>0</v>
      </c>
      <c r="AD53" s="1">
        <f t="shared" si="127"/>
        <v>0</v>
      </c>
      <c r="AE53" s="2">
        <f t="shared" si="127"/>
        <v>0</v>
      </c>
      <c r="AF53" s="3">
        <f t="shared" si="127"/>
        <v>0</v>
      </c>
      <c r="AG53" s="1">
        <f t="shared" si="127"/>
        <v>0</v>
      </c>
      <c r="AH53" s="1">
        <f t="shared" si="127"/>
        <v>0</v>
      </c>
      <c r="AI53" s="1">
        <f t="shared" si="127"/>
        <v>1</v>
      </c>
      <c r="AJ53" s="1">
        <f t="shared" ref="AJ53:AU58" si="128">SUMIF($E$7:$E$48,$E53,AJ$7:AJ$48)*($E53&lt;&gt;AJ$6)</f>
        <v>0</v>
      </c>
      <c r="AK53" s="1">
        <f t="shared" si="128"/>
        <v>0</v>
      </c>
      <c r="AL53" s="1">
        <f t="shared" si="128"/>
        <v>0</v>
      </c>
      <c r="AM53" s="1">
        <f t="shared" si="128"/>
        <v>0</v>
      </c>
      <c r="AN53" s="1">
        <f t="shared" si="128"/>
        <v>0</v>
      </c>
      <c r="AO53" s="1">
        <f t="shared" si="128"/>
        <v>0</v>
      </c>
      <c r="AP53" s="1">
        <f t="shared" si="128"/>
        <v>0</v>
      </c>
      <c r="AQ53" s="2">
        <f t="shared" si="128"/>
        <v>0</v>
      </c>
      <c r="AR53" s="3">
        <f t="shared" si="128"/>
        <v>0</v>
      </c>
      <c r="AS53" s="1">
        <f t="shared" si="128"/>
        <v>0</v>
      </c>
      <c r="AT53" s="1">
        <f t="shared" si="128"/>
        <v>0</v>
      </c>
      <c r="AU53" s="2">
        <f t="shared" si="128"/>
        <v>0</v>
      </c>
      <c r="AW53">
        <f>COUNTIF(F53:AU53,"&gt;0")</f>
        <v>3</v>
      </c>
    </row>
    <row r="54" spans="1:49" ht="14.45" x14ac:dyDescent="0.3">
      <c r="B54" s="24"/>
      <c r="C54" s="24">
        <f t="shared" ref="C54:C58" si="129">SUMIF($E$7:$E$48,$E54,C$7:C$48)</f>
        <v>30.670624767999996</v>
      </c>
      <c r="D54">
        <f t="shared" ref="D54:D58" si="130">COUNTIF($E$7:$E$48,E54)</f>
        <v>4</v>
      </c>
      <c r="E54" t="s">
        <v>1</v>
      </c>
      <c r="F54" s="3">
        <f t="shared" si="125"/>
        <v>0</v>
      </c>
      <c r="G54" s="1">
        <f t="shared" si="125"/>
        <v>0</v>
      </c>
      <c r="H54" s="1">
        <f t="shared" si="125"/>
        <v>0</v>
      </c>
      <c r="I54" s="1">
        <f t="shared" si="125"/>
        <v>0</v>
      </c>
      <c r="J54" s="1">
        <f t="shared" si="125"/>
        <v>0</v>
      </c>
      <c r="K54" s="1">
        <f t="shared" si="125"/>
        <v>0</v>
      </c>
      <c r="L54" s="1">
        <f t="shared" si="125"/>
        <v>0</v>
      </c>
      <c r="M54" s="1">
        <f t="shared" si="125"/>
        <v>0</v>
      </c>
      <c r="N54" s="2">
        <f t="shared" si="125"/>
        <v>1</v>
      </c>
      <c r="O54" s="3">
        <f t="shared" si="125"/>
        <v>0</v>
      </c>
      <c r="P54" s="1">
        <f t="shared" si="126"/>
        <v>0</v>
      </c>
      <c r="Q54" s="1">
        <f t="shared" si="126"/>
        <v>0</v>
      </c>
      <c r="R54" s="2">
        <f t="shared" si="126"/>
        <v>0</v>
      </c>
      <c r="S54" s="3">
        <f t="shared" si="126"/>
        <v>0</v>
      </c>
      <c r="T54" s="1">
        <f t="shared" si="126"/>
        <v>0</v>
      </c>
      <c r="U54" s="1">
        <f t="shared" si="126"/>
        <v>0</v>
      </c>
      <c r="V54" s="1">
        <f t="shared" si="126"/>
        <v>0</v>
      </c>
      <c r="W54" s="1">
        <f t="shared" si="126"/>
        <v>0</v>
      </c>
      <c r="X54" s="1">
        <f t="shared" si="126"/>
        <v>0</v>
      </c>
      <c r="Y54" s="2">
        <f t="shared" si="126"/>
        <v>0</v>
      </c>
      <c r="Z54" s="3">
        <f t="shared" si="127"/>
        <v>1</v>
      </c>
      <c r="AA54" s="1">
        <f t="shared" si="127"/>
        <v>0</v>
      </c>
      <c r="AB54" s="1">
        <f t="shared" si="127"/>
        <v>0</v>
      </c>
      <c r="AC54" s="1">
        <f t="shared" si="127"/>
        <v>0</v>
      </c>
      <c r="AD54" s="1">
        <f t="shared" si="127"/>
        <v>0</v>
      </c>
      <c r="AE54" s="2">
        <f t="shared" si="127"/>
        <v>0</v>
      </c>
      <c r="AF54" s="3">
        <f t="shared" si="127"/>
        <v>0</v>
      </c>
      <c r="AG54" s="1">
        <f t="shared" si="127"/>
        <v>0</v>
      </c>
      <c r="AH54" s="1">
        <f t="shared" si="127"/>
        <v>0</v>
      </c>
      <c r="AI54" s="1">
        <f t="shared" si="127"/>
        <v>0</v>
      </c>
      <c r="AJ54" s="1">
        <f t="shared" si="128"/>
        <v>0</v>
      </c>
      <c r="AK54" s="1">
        <f t="shared" si="128"/>
        <v>0</v>
      </c>
      <c r="AL54" s="1">
        <f t="shared" si="128"/>
        <v>0</v>
      </c>
      <c r="AM54" s="1">
        <f t="shared" si="128"/>
        <v>0</v>
      </c>
      <c r="AN54" s="1">
        <f t="shared" si="128"/>
        <v>0</v>
      </c>
      <c r="AO54" s="1">
        <f t="shared" si="128"/>
        <v>0</v>
      </c>
      <c r="AP54" s="1">
        <f t="shared" si="128"/>
        <v>0</v>
      </c>
      <c r="AQ54" s="2">
        <f t="shared" si="128"/>
        <v>0</v>
      </c>
      <c r="AR54" s="3">
        <f t="shared" si="128"/>
        <v>0</v>
      </c>
      <c r="AS54" s="1">
        <f t="shared" si="128"/>
        <v>0</v>
      </c>
      <c r="AT54" s="1">
        <f t="shared" si="128"/>
        <v>0</v>
      </c>
      <c r="AU54" s="2">
        <f t="shared" si="128"/>
        <v>0</v>
      </c>
      <c r="AW54">
        <f t="shared" ref="AW54:AW58" si="131">COUNTIF(F54:AU54,"&gt;0")</f>
        <v>2</v>
      </c>
    </row>
    <row r="55" spans="1:49" ht="14.45" x14ac:dyDescent="0.3">
      <c r="B55" s="24"/>
      <c r="C55" s="24">
        <f t="shared" si="129"/>
        <v>69.921387519999968</v>
      </c>
      <c r="D55">
        <f t="shared" si="130"/>
        <v>7</v>
      </c>
      <c r="E55" t="s">
        <v>2</v>
      </c>
      <c r="F55" s="3">
        <f t="shared" si="125"/>
        <v>0</v>
      </c>
      <c r="G55" s="1">
        <f t="shared" si="125"/>
        <v>0</v>
      </c>
      <c r="H55" s="1">
        <f t="shared" si="125"/>
        <v>1</v>
      </c>
      <c r="I55" s="1">
        <f t="shared" si="125"/>
        <v>0</v>
      </c>
      <c r="J55" s="1">
        <f t="shared" si="125"/>
        <v>0</v>
      </c>
      <c r="K55" s="1">
        <f t="shared" si="125"/>
        <v>0</v>
      </c>
      <c r="L55" s="1">
        <f t="shared" si="125"/>
        <v>0</v>
      </c>
      <c r="M55" s="1">
        <f t="shared" si="125"/>
        <v>0</v>
      </c>
      <c r="N55" s="2">
        <f t="shared" si="125"/>
        <v>0</v>
      </c>
      <c r="O55" s="3">
        <f t="shared" si="125"/>
        <v>0</v>
      </c>
      <c r="P55" s="1">
        <f t="shared" si="126"/>
        <v>0</v>
      </c>
      <c r="Q55" s="1">
        <f t="shared" si="126"/>
        <v>0</v>
      </c>
      <c r="R55" s="2">
        <f t="shared" si="126"/>
        <v>0</v>
      </c>
      <c r="S55" s="3">
        <f t="shared" si="126"/>
        <v>0</v>
      </c>
      <c r="T55" s="1">
        <f t="shared" si="126"/>
        <v>0</v>
      </c>
      <c r="U55" s="1">
        <f t="shared" si="126"/>
        <v>0</v>
      </c>
      <c r="V55" s="1">
        <f t="shared" si="126"/>
        <v>0</v>
      </c>
      <c r="W55" s="1">
        <f t="shared" si="126"/>
        <v>0</v>
      </c>
      <c r="X55" s="1">
        <f t="shared" si="126"/>
        <v>0</v>
      </c>
      <c r="Y55" s="2">
        <f t="shared" si="126"/>
        <v>0</v>
      </c>
      <c r="Z55" s="3">
        <f t="shared" si="127"/>
        <v>2</v>
      </c>
      <c r="AA55" s="1">
        <f t="shared" si="127"/>
        <v>1</v>
      </c>
      <c r="AB55" s="1">
        <f t="shared" si="127"/>
        <v>0</v>
      </c>
      <c r="AC55" s="1">
        <f t="shared" si="127"/>
        <v>0</v>
      </c>
      <c r="AD55" s="1">
        <f t="shared" si="127"/>
        <v>0</v>
      </c>
      <c r="AE55" s="2">
        <f t="shared" si="127"/>
        <v>0</v>
      </c>
      <c r="AF55" s="3">
        <f t="shared" si="127"/>
        <v>1</v>
      </c>
      <c r="AG55" s="1">
        <f t="shared" si="127"/>
        <v>0</v>
      </c>
      <c r="AH55" s="1">
        <f t="shared" si="127"/>
        <v>0</v>
      </c>
      <c r="AI55" s="1">
        <f t="shared" si="127"/>
        <v>0</v>
      </c>
      <c r="AJ55" s="1">
        <f t="shared" si="128"/>
        <v>0</v>
      </c>
      <c r="AK55" s="1">
        <f t="shared" si="128"/>
        <v>1</v>
      </c>
      <c r="AL55" s="1">
        <f t="shared" si="128"/>
        <v>0</v>
      </c>
      <c r="AM55" s="1">
        <f t="shared" si="128"/>
        <v>0</v>
      </c>
      <c r="AN55" s="1">
        <f t="shared" si="128"/>
        <v>0</v>
      </c>
      <c r="AO55" s="1">
        <f t="shared" si="128"/>
        <v>2</v>
      </c>
      <c r="AP55" s="1">
        <f t="shared" si="128"/>
        <v>0</v>
      </c>
      <c r="AQ55" s="2">
        <f t="shared" si="128"/>
        <v>0</v>
      </c>
      <c r="AR55" s="3">
        <f t="shared" si="128"/>
        <v>0</v>
      </c>
      <c r="AS55" s="1">
        <f t="shared" si="128"/>
        <v>0</v>
      </c>
      <c r="AT55" s="1">
        <f t="shared" si="128"/>
        <v>0</v>
      </c>
      <c r="AU55" s="2">
        <f t="shared" si="128"/>
        <v>0</v>
      </c>
      <c r="AW55">
        <f t="shared" si="131"/>
        <v>6</v>
      </c>
    </row>
    <row r="56" spans="1:49" ht="14.45" x14ac:dyDescent="0.3">
      <c r="B56" s="24"/>
      <c r="C56" s="24">
        <f t="shared" si="129"/>
        <v>53.977343999999974</v>
      </c>
      <c r="D56">
        <f t="shared" si="130"/>
        <v>6</v>
      </c>
      <c r="E56" t="s">
        <v>3</v>
      </c>
      <c r="F56" s="3">
        <f t="shared" si="125"/>
        <v>0</v>
      </c>
      <c r="G56" s="1">
        <f t="shared" si="125"/>
        <v>0</v>
      </c>
      <c r="H56" s="1">
        <f t="shared" si="125"/>
        <v>0</v>
      </c>
      <c r="I56" s="1">
        <f t="shared" si="125"/>
        <v>0</v>
      </c>
      <c r="J56" s="1">
        <f t="shared" si="125"/>
        <v>0</v>
      </c>
      <c r="K56" s="1">
        <f t="shared" si="125"/>
        <v>0</v>
      </c>
      <c r="L56" s="1">
        <f t="shared" si="125"/>
        <v>0</v>
      </c>
      <c r="M56" s="1">
        <f t="shared" si="125"/>
        <v>0</v>
      </c>
      <c r="N56" s="2">
        <f t="shared" si="125"/>
        <v>0</v>
      </c>
      <c r="O56" s="3">
        <f t="shared" si="125"/>
        <v>0</v>
      </c>
      <c r="P56" s="1">
        <f t="shared" si="126"/>
        <v>0</v>
      </c>
      <c r="Q56" s="1">
        <f t="shared" si="126"/>
        <v>1</v>
      </c>
      <c r="R56" s="2">
        <f t="shared" si="126"/>
        <v>0</v>
      </c>
      <c r="S56" s="3">
        <f t="shared" si="126"/>
        <v>0</v>
      </c>
      <c r="T56" s="1">
        <f t="shared" si="126"/>
        <v>0</v>
      </c>
      <c r="U56" s="1">
        <f t="shared" si="126"/>
        <v>0</v>
      </c>
      <c r="V56" s="1">
        <f t="shared" si="126"/>
        <v>0</v>
      </c>
      <c r="W56" s="1">
        <f t="shared" si="126"/>
        <v>1</v>
      </c>
      <c r="X56" s="1">
        <f t="shared" si="126"/>
        <v>0</v>
      </c>
      <c r="Y56" s="2">
        <f t="shared" si="126"/>
        <v>2</v>
      </c>
      <c r="Z56" s="3">
        <f t="shared" si="127"/>
        <v>0</v>
      </c>
      <c r="AA56" s="1">
        <f t="shared" si="127"/>
        <v>0</v>
      </c>
      <c r="AB56" s="1">
        <f t="shared" si="127"/>
        <v>0</v>
      </c>
      <c r="AC56" s="1">
        <f t="shared" si="127"/>
        <v>0</v>
      </c>
      <c r="AD56" s="1">
        <f t="shared" si="127"/>
        <v>0</v>
      </c>
      <c r="AE56" s="2">
        <f t="shared" si="127"/>
        <v>0</v>
      </c>
      <c r="AF56" s="3">
        <f t="shared" si="127"/>
        <v>0</v>
      </c>
      <c r="AG56" s="1">
        <f t="shared" si="127"/>
        <v>0</v>
      </c>
      <c r="AH56" s="1">
        <f t="shared" si="127"/>
        <v>0</v>
      </c>
      <c r="AI56" s="1">
        <f t="shared" si="127"/>
        <v>0</v>
      </c>
      <c r="AJ56" s="1">
        <f t="shared" si="128"/>
        <v>0</v>
      </c>
      <c r="AK56" s="1">
        <f t="shared" si="128"/>
        <v>0</v>
      </c>
      <c r="AL56" s="1">
        <f t="shared" si="128"/>
        <v>0</v>
      </c>
      <c r="AM56" s="1">
        <f t="shared" si="128"/>
        <v>0</v>
      </c>
      <c r="AN56" s="1">
        <f t="shared" si="128"/>
        <v>0</v>
      </c>
      <c r="AO56" s="1">
        <f t="shared" si="128"/>
        <v>2</v>
      </c>
      <c r="AP56" s="1">
        <f t="shared" si="128"/>
        <v>0</v>
      </c>
      <c r="AQ56" s="2">
        <f t="shared" si="128"/>
        <v>0</v>
      </c>
      <c r="AR56" s="3">
        <f t="shared" si="128"/>
        <v>0</v>
      </c>
      <c r="AS56" s="1">
        <f t="shared" si="128"/>
        <v>0</v>
      </c>
      <c r="AT56" s="1">
        <f t="shared" si="128"/>
        <v>0</v>
      </c>
      <c r="AU56" s="2">
        <f t="shared" si="128"/>
        <v>0</v>
      </c>
      <c r="AW56">
        <f t="shared" si="131"/>
        <v>4</v>
      </c>
    </row>
    <row r="57" spans="1:49" ht="14.45" x14ac:dyDescent="0.3">
      <c r="B57" s="24"/>
      <c r="C57" s="24">
        <f t="shared" si="129"/>
        <v>114.88720895999997</v>
      </c>
      <c r="D57">
        <f t="shared" si="130"/>
        <v>12</v>
      </c>
      <c r="E57" t="s">
        <v>4</v>
      </c>
      <c r="F57" s="3">
        <f t="shared" si="125"/>
        <v>1</v>
      </c>
      <c r="G57" s="1">
        <f t="shared" si="125"/>
        <v>0</v>
      </c>
      <c r="H57" s="1">
        <f t="shared" si="125"/>
        <v>0</v>
      </c>
      <c r="I57" s="1">
        <f t="shared" si="125"/>
        <v>0</v>
      </c>
      <c r="J57" s="1">
        <f t="shared" si="125"/>
        <v>0</v>
      </c>
      <c r="K57" s="1">
        <f t="shared" si="125"/>
        <v>0</v>
      </c>
      <c r="L57" s="1">
        <f t="shared" si="125"/>
        <v>0</v>
      </c>
      <c r="M57" s="1">
        <f t="shared" si="125"/>
        <v>0</v>
      </c>
      <c r="N57" s="2">
        <f t="shared" si="125"/>
        <v>0</v>
      </c>
      <c r="O57" s="3">
        <f t="shared" si="125"/>
        <v>0</v>
      </c>
      <c r="P57" s="1">
        <f t="shared" si="126"/>
        <v>0</v>
      </c>
      <c r="Q57" s="1">
        <f t="shared" si="126"/>
        <v>0</v>
      </c>
      <c r="R57" s="2">
        <f t="shared" si="126"/>
        <v>0</v>
      </c>
      <c r="S57" s="3">
        <f t="shared" si="126"/>
        <v>0</v>
      </c>
      <c r="T57" s="1">
        <f t="shared" si="126"/>
        <v>0</v>
      </c>
      <c r="U57" s="1">
        <f t="shared" si="126"/>
        <v>0</v>
      </c>
      <c r="V57" s="1">
        <f t="shared" si="126"/>
        <v>3</v>
      </c>
      <c r="W57" s="1">
        <f t="shared" si="126"/>
        <v>0</v>
      </c>
      <c r="X57" s="1">
        <f t="shared" si="126"/>
        <v>0</v>
      </c>
      <c r="Y57" s="2">
        <f t="shared" si="126"/>
        <v>1</v>
      </c>
      <c r="Z57" s="3">
        <f t="shared" si="127"/>
        <v>0</v>
      </c>
      <c r="AA57" s="1">
        <f t="shared" si="127"/>
        <v>1</v>
      </c>
      <c r="AB57" s="1">
        <f t="shared" si="127"/>
        <v>1</v>
      </c>
      <c r="AC57" s="1">
        <f t="shared" si="127"/>
        <v>0</v>
      </c>
      <c r="AD57" s="1">
        <f t="shared" si="127"/>
        <v>0</v>
      </c>
      <c r="AE57" s="2">
        <f t="shared" si="127"/>
        <v>0</v>
      </c>
      <c r="AF57" s="3">
        <f t="shared" si="127"/>
        <v>0</v>
      </c>
      <c r="AG57" s="1">
        <f t="shared" si="127"/>
        <v>0</v>
      </c>
      <c r="AH57" s="1">
        <f t="shared" si="127"/>
        <v>0</v>
      </c>
      <c r="AI57" s="1">
        <f t="shared" si="127"/>
        <v>0</v>
      </c>
      <c r="AJ57" s="1">
        <f t="shared" si="128"/>
        <v>0</v>
      </c>
      <c r="AK57" s="1">
        <f t="shared" si="128"/>
        <v>0</v>
      </c>
      <c r="AL57" s="1">
        <f t="shared" si="128"/>
        <v>0</v>
      </c>
      <c r="AM57" s="1">
        <f t="shared" si="128"/>
        <v>0</v>
      </c>
      <c r="AN57" s="1">
        <f t="shared" si="128"/>
        <v>0</v>
      </c>
      <c r="AO57" s="1">
        <f t="shared" si="128"/>
        <v>0</v>
      </c>
      <c r="AP57" s="1">
        <f t="shared" si="128"/>
        <v>0</v>
      </c>
      <c r="AQ57" s="2">
        <f t="shared" si="128"/>
        <v>0</v>
      </c>
      <c r="AR57" s="3">
        <f t="shared" si="128"/>
        <v>1</v>
      </c>
      <c r="AS57" s="1">
        <f t="shared" si="128"/>
        <v>0</v>
      </c>
      <c r="AT57" s="1">
        <f t="shared" si="128"/>
        <v>0</v>
      </c>
      <c r="AU57" s="2">
        <f t="shared" si="128"/>
        <v>0</v>
      </c>
      <c r="AW57">
        <f t="shared" si="131"/>
        <v>6</v>
      </c>
    </row>
    <row r="58" spans="1:49" ht="14.45" x14ac:dyDescent="0.3">
      <c r="B58" s="24"/>
      <c r="C58" s="24">
        <f t="shared" si="129"/>
        <v>22.2669058048</v>
      </c>
      <c r="D58">
        <f t="shared" si="130"/>
        <v>4</v>
      </c>
      <c r="E58" t="s">
        <v>5</v>
      </c>
      <c r="F58" s="3">
        <f t="shared" si="125"/>
        <v>0</v>
      </c>
      <c r="G58" s="1">
        <f t="shared" si="125"/>
        <v>0</v>
      </c>
      <c r="H58" s="1">
        <f t="shared" si="125"/>
        <v>0</v>
      </c>
      <c r="I58" s="1">
        <f t="shared" si="125"/>
        <v>0</v>
      </c>
      <c r="J58" s="1">
        <f t="shared" si="125"/>
        <v>0</v>
      </c>
      <c r="K58" s="1">
        <f t="shared" si="125"/>
        <v>0</v>
      </c>
      <c r="L58" s="1">
        <f t="shared" si="125"/>
        <v>0</v>
      </c>
      <c r="M58" s="1">
        <f t="shared" si="125"/>
        <v>0</v>
      </c>
      <c r="N58" s="2">
        <f t="shared" si="125"/>
        <v>0</v>
      </c>
      <c r="O58" s="3">
        <f t="shared" si="125"/>
        <v>0</v>
      </c>
      <c r="P58" s="1">
        <f t="shared" si="126"/>
        <v>0</v>
      </c>
      <c r="Q58" s="1">
        <f t="shared" si="126"/>
        <v>0</v>
      </c>
      <c r="R58" s="2">
        <f t="shared" si="126"/>
        <v>0</v>
      </c>
      <c r="S58" s="3">
        <f t="shared" si="126"/>
        <v>0</v>
      </c>
      <c r="T58" s="1">
        <f t="shared" si="126"/>
        <v>0</v>
      </c>
      <c r="U58" s="1">
        <f t="shared" si="126"/>
        <v>0</v>
      </c>
      <c r="V58" s="1">
        <f t="shared" si="126"/>
        <v>0</v>
      </c>
      <c r="W58" s="1">
        <f t="shared" si="126"/>
        <v>0</v>
      </c>
      <c r="X58" s="1">
        <f t="shared" si="126"/>
        <v>0</v>
      </c>
      <c r="Y58" s="2">
        <f t="shared" si="126"/>
        <v>0</v>
      </c>
      <c r="Z58" s="3">
        <f t="shared" si="127"/>
        <v>0</v>
      </c>
      <c r="AA58" s="1">
        <f t="shared" si="127"/>
        <v>0</v>
      </c>
      <c r="AB58" s="1">
        <f t="shared" si="127"/>
        <v>0</v>
      </c>
      <c r="AC58" s="1">
        <f t="shared" si="127"/>
        <v>0</v>
      </c>
      <c r="AD58" s="1">
        <f t="shared" si="127"/>
        <v>0</v>
      </c>
      <c r="AE58" s="2">
        <f t="shared" si="127"/>
        <v>0</v>
      </c>
      <c r="AF58" s="3">
        <f t="shared" si="127"/>
        <v>0</v>
      </c>
      <c r="AG58" s="1">
        <f t="shared" si="127"/>
        <v>0</v>
      </c>
      <c r="AH58" s="1">
        <f t="shared" si="127"/>
        <v>0</v>
      </c>
      <c r="AI58" s="1">
        <f t="shared" si="127"/>
        <v>0</v>
      </c>
      <c r="AJ58" s="1">
        <f t="shared" si="128"/>
        <v>0</v>
      </c>
      <c r="AK58" s="1">
        <f t="shared" si="128"/>
        <v>0</v>
      </c>
      <c r="AL58" s="1">
        <f t="shared" si="128"/>
        <v>0</v>
      </c>
      <c r="AM58" s="1">
        <f t="shared" si="128"/>
        <v>0</v>
      </c>
      <c r="AN58" s="1">
        <f t="shared" si="128"/>
        <v>0</v>
      </c>
      <c r="AO58" s="1">
        <f t="shared" si="128"/>
        <v>0</v>
      </c>
      <c r="AP58" s="1">
        <f t="shared" si="128"/>
        <v>0</v>
      </c>
      <c r="AQ58" s="2">
        <f t="shared" si="128"/>
        <v>1</v>
      </c>
      <c r="AR58" s="3">
        <f t="shared" si="128"/>
        <v>0</v>
      </c>
      <c r="AS58" s="1">
        <f t="shared" si="128"/>
        <v>0</v>
      </c>
      <c r="AT58" s="1">
        <f t="shared" si="128"/>
        <v>0</v>
      </c>
      <c r="AU58" s="2">
        <f t="shared" si="128"/>
        <v>0</v>
      </c>
      <c r="AW58">
        <f t="shared" si="131"/>
        <v>1</v>
      </c>
    </row>
    <row r="60" spans="1:49" ht="14.45" x14ac:dyDescent="0.3">
      <c r="B60" s="24"/>
      <c r="C60" s="24">
        <f>SUMIF($E$7:$E$48,$E53,C$7:C$48)/D53</f>
        <v>8.2171424085333289</v>
      </c>
      <c r="E60">
        <v>5</v>
      </c>
      <c r="F60" s="4">
        <f>E60/D53</f>
        <v>0.55555555555555558</v>
      </c>
      <c r="G60" s="1" t="s">
        <v>0</v>
      </c>
    </row>
    <row r="61" spans="1:49" ht="14.45" x14ac:dyDescent="0.3">
      <c r="B61" s="24"/>
      <c r="C61" s="24">
        <f t="shared" ref="C61:C65" si="132">SUMIF($E$7:$E$48,$E54,C$7:C$48)/D54</f>
        <v>7.667656191999999</v>
      </c>
      <c r="D61">
        <v>39</v>
      </c>
      <c r="E61">
        <v>2</v>
      </c>
      <c r="F61" s="4">
        <f t="shared" ref="F61:F65" si="133">E61/D54</f>
        <v>0.5</v>
      </c>
      <c r="G61" s="1" t="s">
        <v>1</v>
      </c>
    </row>
    <row r="62" spans="1:49" ht="14.45" x14ac:dyDescent="0.3">
      <c r="B62" s="24"/>
      <c r="C62" s="24">
        <f t="shared" si="132"/>
        <v>9.9887696457142816</v>
      </c>
      <c r="D62">
        <v>40</v>
      </c>
      <c r="E62">
        <v>5</v>
      </c>
      <c r="F62" s="4">
        <f t="shared" si="133"/>
        <v>0.7142857142857143</v>
      </c>
      <c r="G62" s="1" t="s">
        <v>2</v>
      </c>
    </row>
    <row r="63" spans="1:49" ht="14.45" x14ac:dyDescent="0.3">
      <c r="B63" s="24"/>
      <c r="C63" s="24">
        <f t="shared" si="132"/>
        <v>8.9962239999999962</v>
      </c>
      <c r="D63">
        <v>41</v>
      </c>
      <c r="E63">
        <v>3</v>
      </c>
      <c r="F63" s="4">
        <f t="shared" si="133"/>
        <v>0.5</v>
      </c>
      <c r="G63" s="1" t="s">
        <v>3</v>
      </c>
    </row>
    <row r="64" spans="1:49" ht="14.45" x14ac:dyDescent="0.3">
      <c r="B64" s="24"/>
      <c r="C64" s="24">
        <f t="shared" si="132"/>
        <v>9.5739340799999972</v>
      </c>
      <c r="D64">
        <v>42</v>
      </c>
      <c r="E64">
        <v>7</v>
      </c>
      <c r="F64" s="4">
        <f t="shared" si="133"/>
        <v>0.58333333333333337</v>
      </c>
      <c r="G64" s="1" t="s">
        <v>4</v>
      </c>
    </row>
    <row r="65" spans="2:47" ht="14.45" x14ac:dyDescent="0.3">
      <c r="B65" s="24"/>
      <c r="C65" s="24">
        <f t="shared" si="132"/>
        <v>5.5667264512000001</v>
      </c>
      <c r="E65">
        <v>2</v>
      </c>
      <c r="F65" s="4">
        <f t="shared" si="133"/>
        <v>0.5</v>
      </c>
      <c r="G65" s="1" t="s">
        <v>5</v>
      </c>
    </row>
    <row r="69" spans="2:47" ht="14.45" x14ac:dyDescent="0.3">
      <c r="F69" s="20">
        <f>SUM(F71:F112)</f>
        <v>8.5247487999999993</v>
      </c>
      <c r="G69" s="20">
        <f t="shared" ref="G69:AU69" si="134">SUM(G71:G112)</f>
        <v>8.5626879999999979</v>
      </c>
      <c r="H69" s="20">
        <f t="shared" si="134"/>
        <v>8.8230860799999977</v>
      </c>
      <c r="I69" s="20">
        <f t="shared" si="134"/>
        <v>8.393343999999999</v>
      </c>
      <c r="J69" s="20">
        <f t="shared" si="134"/>
        <v>8.7001292799999987</v>
      </c>
      <c r="K69" s="20">
        <f t="shared" si="134"/>
        <v>7.4301460479999948</v>
      </c>
      <c r="L69" s="20">
        <f t="shared" si="134"/>
        <v>8.2056140799999966</v>
      </c>
      <c r="M69" s="20">
        <f t="shared" si="134"/>
        <v>7.6369684479999931</v>
      </c>
      <c r="N69" s="20">
        <f t="shared" si="134"/>
        <v>7.7508628479999935</v>
      </c>
      <c r="O69" s="20">
        <f t="shared" si="134"/>
        <v>8.0059340799999958</v>
      </c>
      <c r="P69" s="20">
        <f t="shared" si="134"/>
        <v>7.1974604799999993</v>
      </c>
      <c r="Q69" s="20">
        <f t="shared" si="134"/>
        <v>9.1366144000000045</v>
      </c>
      <c r="R69" s="20">
        <f t="shared" si="134"/>
        <v>6.3619686400000006</v>
      </c>
      <c r="S69" s="20">
        <f t="shared" si="134"/>
        <v>8.9786367999999985</v>
      </c>
      <c r="T69" s="20">
        <f t="shared" si="134"/>
        <v>9.1990527999999987</v>
      </c>
      <c r="U69" s="20">
        <f t="shared" si="134"/>
        <v>9.503487999999999</v>
      </c>
      <c r="V69" s="20">
        <f t="shared" si="134"/>
        <v>11.572479999999993</v>
      </c>
      <c r="W69" s="20">
        <f t="shared" si="134"/>
        <v>9.9865599999999972</v>
      </c>
      <c r="X69" s="20">
        <f t="shared" si="134"/>
        <v>9.7492479999999979</v>
      </c>
      <c r="Y69" s="20">
        <f t="shared" si="134"/>
        <v>11.072511999999994</v>
      </c>
      <c r="Z69" s="20">
        <f t="shared" si="134"/>
        <v>10.815615999999997</v>
      </c>
      <c r="AA69" s="20">
        <f t="shared" si="134"/>
        <v>10.026879999999995</v>
      </c>
      <c r="AB69" s="20">
        <f t="shared" si="134"/>
        <v>10.362879999999993</v>
      </c>
      <c r="AC69" s="20">
        <f t="shared" si="134"/>
        <v>8.4733695999999981</v>
      </c>
      <c r="AD69" s="20">
        <f t="shared" si="134"/>
        <v>7.3377279999999958</v>
      </c>
      <c r="AE69" s="20">
        <f t="shared" si="134"/>
        <v>7.0977279999999956</v>
      </c>
      <c r="AF69" s="20">
        <f t="shared" si="134"/>
        <v>10.434687999999996</v>
      </c>
      <c r="AG69" s="20">
        <f t="shared" si="134"/>
        <v>9.7058559999999972</v>
      </c>
      <c r="AH69" s="20">
        <f t="shared" si="134"/>
        <v>8.1551872000000003</v>
      </c>
      <c r="AI69" s="20">
        <f t="shared" si="134"/>
        <v>8.9913855999999974</v>
      </c>
      <c r="AJ69" s="20">
        <f t="shared" si="134"/>
        <v>8.3951871999999987</v>
      </c>
      <c r="AK69" s="20">
        <f t="shared" si="134"/>
        <v>10.933887999999998</v>
      </c>
      <c r="AL69" s="20">
        <f t="shared" si="134"/>
        <v>10.821375999999995</v>
      </c>
      <c r="AM69" s="20">
        <f t="shared" si="134"/>
        <v>9.5924991999999971</v>
      </c>
      <c r="AN69" s="20">
        <f t="shared" si="134"/>
        <v>7.4060953600000001</v>
      </c>
      <c r="AO69" s="20">
        <f t="shared" si="134"/>
        <v>11.450367999999997</v>
      </c>
      <c r="AP69" s="20">
        <f t="shared" si="134"/>
        <v>10.503577599999996</v>
      </c>
      <c r="AQ69" s="20">
        <f t="shared" si="134"/>
        <v>9.1975167999999989</v>
      </c>
      <c r="AR69" s="20">
        <f t="shared" si="134"/>
        <v>7.3105100799999994</v>
      </c>
      <c r="AS69" s="20">
        <f t="shared" si="134"/>
        <v>5.9063060479999994</v>
      </c>
      <c r="AT69" s="20">
        <f t="shared" si="134"/>
        <v>5.9063060480000003</v>
      </c>
      <c r="AU69" s="20">
        <f t="shared" si="134"/>
        <v>4.1837836288000005</v>
      </c>
    </row>
    <row r="71" spans="2:47" ht="14.45" x14ac:dyDescent="0.3">
      <c r="F71" s="20">
        <v>1</v>
      </c>
      <c r="G71" s="20">
        <v>0.6</v>
      </c>
      <c r="H71" s="20">
        <v>0.36</v>
      </c>
      <c r="I71" s="20">
        <v>0.6</v>
      </c>
      <c r="J71" s="20">
        <v>0.36</v>
      </c>
      <c r="K71" s="20">
        <v>0.216</v>
      </c>
      <c r="L71" s="20">
        <v>0.36</v>
      </c>
      <c r="M71" s="20">
        <v>0.216</v>
      </c>
      <c r="N71" s="20">
        <v>0.216</v>
      </c>
      <c r="O71" s="20">
        <v>0.12959999999999999</v>
      </c>
      <c r="P71" s="20">
        <v>7.7759999999999996E-2</v>
      </c>
      <c r="Q71" s="20">
        <v>7.7759999999999996E-2</v>
      </c>
      <c r="R71" s="20">
        <v>4.6655999999999996E-2</v>
      </c>
      <c r="S71" s="20">
        <v>0.216</v>
      </c>
      <c r="T71" s="20">
        <v>0.12959999999999999</v>
      </c>
      <c r="U71" s="20">
        <v>0.12959999999999999</v>
      </c>
      <c r="V71" s="20">
        <v>7.7759999999999996E-2</v>
      </c>
      <c r="W71" s="20">
        <v>7.7759999999999996E-2</v>
      </c>
      <c r="X71" s="20">
        <v>7.7759999999999996E-2</v>
      </c>
      <c r="Y71" s="20">
        <v>4.6655999999999996E-2</v>
      </c>
      <c r="Z71" s="20">
        <v>4.6655999999999996E-2</v>
      </c>
      <c r="AA71" s="20">
        <v>4.6655999999999996E-2</v>
      </c>
      <c r="AB71" s="20">
        <v>4.6655999999999996E-2</v>
      </c>
      <c r="AC71" s="20">
        <v>2.7993599999999997E-2</v>
      </c>
      <c r="AD71" s="20">
        <v>2.7993599999999997E-2</v>
      </c>
      <c r="AE71" s="20">
        <v>2.7993599999999997E-2</v>
      </c>
      <c r="AF71" s="20">
        <v>0.12959999999999999</v>
      </c>
      <c r="AG71" s="20">
        <v>0.216</v>
      </c>
      <c r="AH71" s="20">
        <v>0.36</v>
      </c>
      <c r="AI71" s="20">
        <v>0.6</v>
      </c>
      <c r="AJ71" s="20">
        <v>0.36</v>
      </c>
      <c r="AK71" s="20">
        <v>0.12959999999999999</v>
      </c>
      <c r="AL71" s="20">
        <v>0.216</v>
      </c>
      <c r="AM71" s="20">
        <v>0.36</v>
      </c>
      <c r="AN71" s="20">
        <v>0.36</v>
      </c>
      <c r="AO71" s="20">
        <v>7.7759999999999996E-2</v>
      </c>
      <c r="AP71" s="20">
        <v>0.12959999999999999</v>
      </c>
      <c r="AQ71" s="20">
        <v>0.12959999999999999</v>
      </c>
      <c r="AR71" s="20">
        <v>7.7759999999999996E-2</v>
      </c>
      <c r="AS71" s="20">
        <v>4.6655999999999996E-2</v>
      </c>
      <c r="AT71" s="20">
        <v>4.6655999999999996E-2</v>
      </c>
      <c r="AU71" s="20">
        <v>2.7993599999999997E-2</v>
      </c>
    </row>
    <row r="72" spans="2:47" ht="14.45" x14ac:dyDescent="0.3">
      <c r="F72" s="20">
        <v>0.6</v>
      </c>
      <c r="G72" s="20">
        <v>1</v>
      </c>
      <c r="H72" s="20">
        <v>0.6</v>
      </c>
      <c r="I72" s="20">
        <v>0.6</v>
      </c>
      <c r="J72" s="20">
        <v>0.6</v>
      </c>
      <c r="K72" s="20">
        <v>0.36</v>
      </c>
      <c r="L72" s="20">
        <v>0.36</v>
      </c>
      <c r="M72" s="20">
        <v>0.36</v>
      </c>
      <c r="N72" s="20">
        <v>0.216</v>
      </c>
      <c r="O72" s="20">
        <v>0.12959999999999999</v>
      </c>
      <c r="P72" s="20">
        <v>7.7759999999999996E-2</v>
      </c>
      <c r="Q72" s="20">
        <v>7.7759999999999996E-2</v>
      </c>
      <c r="R72" s="20">
        <v>4.6655999999999996E-2</v>
      </c>
      <c r="S72" s="20">
        <v>0.36</v>
      </c>
      <c r="T72" s="20">
        <v>0.216</v>
      </c>
      <c r="U72" s="20">
        <v>0.216</v>
      </c>
      <c r="V72" s="20">
        <v>0.12959999999999999</v>
      </c>
      <c r="W72" s="20">
        <v>0.12959999999999999</v>
      </c>
      <c r="X72" s="20">
        <v>0.12959999999999999</v>
      </c>
      <c r="Y72" s="20">
        <v>7.7759999999999996E-2</v>
      </c>
      <c r="Z72" s="20">
        <v>7.7759999999999996E-2</v>
      </c>
      <c r="AA72" s="20">
        <v>4.6655999999999996E-2</v>
      </c>
      <c r="AB72" s="20">
        <v>4.6655999999999996E-2</v>
      </c>
      <c r="AC72" s="20">
        <v>4.6655999999999996E-2</v>
      </c>
      <c r="AD72" s="20">
        <v>2.7993599999999997E-2</v>
      </c>
      <c r="AE72" s="20">
        <v>2.7993599999999997E-2</v>
      </c>
      <c r="AF72" s="20">
        <v>7.7759999999999996E-2</v>
      </c>
      <c r="AG72" s="20">
        <v>0.12959999999999999</v>
      </c>
      <c r="AH72" s="20">
        <v>0.216</v>
      </c>
      <c r="AI72" s="20">
        <v>0.36</v>
      </c>
      <c r="AJ72" s="20">
        <v>0.216</v>
      </c>
      <c r="AK72" s="20">
        <v>7.7759999999999996E-2</v>
      </c>
      <c r="AL72" s="20">
        <v>0.12959999999999999</v>
      </c>
      <c r="AM72" s="20">
        <v>0.216</v>
      </c>
      <c r="AN72" s="20">
        <v>0.216</v>
      </c>
      <c r="AO72" s="20">
        <v>7.7759999999999996E-2</v>
      </c>
      <c r="AP72" s="20">
        <v>7.7759999999999996E-2</v>
      </c>
      <c r="AQ72" s="20">
        <v>7.7759999999999996E-2</v>
      </c>
      <c r="AR72" s="20">
        <v>4.6655999999999996E-2</v>
      </c>
      <c r="AS72" s="20">
        <v>2.7993599999999997E-2</v>
      </c>
      <c r="AT72" s="20">
        <v>2.7993599999999997E-2</v>
      </c>
      <c r="AU72" s="20">
        <v>1.6796159999999997E-2</v>
      </c>
    </row>
    <row r="73" spans="2:47" ht="14.45" x14ac:dyDescent="0.3">
      <c r="F73" s="20">
        <v>0.36</v>
      </c>
      <c r="G73" s="20">
        <v>0.6</v>
      </c>
      <c r="H73" s="20">
        <v>1</v>
      </c>
      <c r="I73" s="20">
        <v>0.36</v>
      </c>
      <c r="J73" s="20">
        <v>0.6</v>
      </c>
      <c r="K73" s="20">
        <v>0.6</v>
      </c>
      <c r="L73" s="20">
        <v>0.36</v>
      </c>
      <c r="M73" s="20">
        <v>0.36</v>
      </c>
      <c r="N73" s="20">
        <v>0.216</v>
      </c>
      <c r="O73" s="20">
        <v>0.12959999999999999</v>
      </c>
      <c r="P73" s="20">
        <v>7.7759999999999996E-2</v>
      </c>
      <c r="Q73" s="20">
        <v>7.7759999999999996E-2</v>
      </c>
      <c r="R73" s="20">
        <v>4.6655999999999996E-2</v>
      </c>
      <c r="S73" s="20">
        <v>0.6</v>
      </c>
      <c r="T73" s="20">
        <v>0.36</v>
      </c>
      <c r="U73" s="20">
        <v>0.36</v>
      </c>
      <c r="V73" s="20">
        <v>0.216</v>
      </c>
      <c r="W73" s="20">
        <v>0.216</v>
      </c>
      <c r="X73" s="20">
        <v>0.216</v>
      </c>
      <c r="Y73" s="20">
        <v>0.12959999999999999</v>
      </c>
      <c r="Z73" s="20">
        <v>0.12959999999999999</v>
      </c>
      <c r="AA73" s="20">
        <v>7.7759999999999996E-2</v>
      </c>
      <c r="AB73" s="20">
        <v>7.7759999999999996E-2</v>
      </c>
      <c r="AC73" s="20">
        <v>7.7759999999999996E-2</v>
      </c>
      <c r="AD73" s="20">
        <v>4.6655999999999996E-2</v>
      </c>
      <c r="AE73" s="20">
        <v>4.6655999999999996E-2</v>
      </c>
      <c r="AF73" s="20">
        <v>0.12959999999999999</v>
      </c>
      <c r="AG73" s="20">
        <v>7.7759999999999996E-2</v>
      </c>
      <c r="AH73" s="20">
        <v>0.12959999999999999</v>
      </c>
      <c r="AI73" s="20">
        <v>0.216</v>
      </c>
      <c r="AJ73" s="20">
        <v>0.12959999999999999</v>
      </c>
      <c r="AK73" s="20">
        <v>0.12959999999999999</v>
      </c>
      <c r="AL73" s="20">
        <v>7.7759999999999996E-2</v>
      </c>
      <c r="AM73" s="20">
        <v>0.12959999999999999</v>
      </c>
      <c r="AN73" s="20">
        <v>0.12959999999999999</v>
      </c>
      <c r="AO73" s="20">
        <v>0.12959999999999999</v>
      </c>
      <c r="AP73" s="20">
        <v>7.7759999999999996E-2</v>
      </c>
      <c r="AQ73" s="20">
        <v>4.6655999999999996E-2</v>
      </c>
      <c r="AR73" s="20">
        <v>2.7993599999999997E-2</v>
      </c>
      <c r="AS73" s="20">
        <v>1.6796159999999997E-2</v>
      </c>
      <c r="AT73" s="20">
        <v>1.6796159999999997E-2</v>
      </c>
      <c r="AU73" s="20">
        <v>1.0077695999999999E-2</v>
      </c>
    </row>
    <row r="74" spans="2:47" ht="14.45" x14ac:dyDescent="0.3">
      <c r="F74" s="20">
        <v>0.6</v>
      </c>
      <c r="G74" s="20">
        <v>0.6</v>
      </c>
      <c r="H74" s="20">
        <v>0.36</v>
      </c>
      <c r="I74" s="20">
        <v>1</v>
      </c>
      <c r="J74" s="20">
        <v>0.6</v>
      </c>
      <c r="K74" s="20">
        <v>0.36</v>
      </c>
      <c r="L74" s="20">
        <v>0.6</v>
      </c>
      <c r="M74" s="20">
        <v>0.36</v>
      </c>
      <c r="N74" s="20">
        <v>0.36</v>
      </c>
      <c r="O74" s="20">
        <v>0.216</v>
      </c>
      <c r="P74" s="20">
        <v>0.12959999999999999</v>
      </c>
      <c r="Q74" s="20">
        <v>0.12959999999999999</v>
      </c>
      <c r="R74" s="20">
        <v>7.7759999999999996E-2</v>
      </c>
      <c r="S74" s="20">
        <v>0.216</v>
      </c>
      <c r="T74" s="20">
        <v>0.12959999999999999</v>
      </c>
      <c r="U74" s="20">
        <v>0.12959999999999999</v>
      </c>
      <c r="V74" s="20">
        <v>7.7759999999999996E-2</v>
      </c>
      <c r="W74" s="20">
        <v>7.7759999999999996E-2</v>
      </c>
      <c r="X74" s="20">
        <v>7.7759999999999996E-2</v>
      </c>
      <c r="Y74" s="20">
        <v>4.6655999999999996E-2</v>
      </c>
      <c r="Z74" s="20">
        <v>7.7759999999999996E-2</v>
      </c>
      <c r="AA74" s="20">
        <v>4.6655999999999996E-2</v>
      </c>
      <c r="AB74" s="20">
        <v>4.6655999999999996E-2</v>
      </c>
      <c r="AC74" s="20">
        <v>4.6655999999999996E-2</v>
      </c>
      <c r="AD74" s="20">
        <v>2.7993599999999997E-2</v>
      </c>
      <c r="AE74" s="20">
        <v>2.7993599999999997E-2</v>
      </c>
      <c r="AF74" s="20">
        <v>7.7759999999999996E-2</v>
      </c>
      <c r="AG74" s="20">
        <v>0.12959999999999999</v>
      </c>
      <c r="AH74" s="20">
        <v>0.216</v>
      </c>
      <c r="AI74" s="20">
        <v>0.36</v>
      </c>
      <c r="AJ74" s="20">
        <v>0.216</v>
      </c>
      <c r="AK74" s="20">
        <v>7.7759999999999996E-2</v>
      </c>
      <c r="AL74" s="20">
        <v>0.12959999999999999</v>
      </c>
      <c r="AM74" s="20">
        <v>0.216</v>
      </c>
      <c r="AN74" s="20">
        <v>0.216</v>
      </c>
      <c r="AO74" s="20">
        <v>4.6655999999999996E-2</v>
      </c>
      <c r="AP74" s="20">
        <v>7.7759999999999996E-2</v>
      </c>
      <c r="AQ74" s="20">
        <v>7.7759999999999996E-2</v>
      </c>
      <c r="AR74" s="20">
        <v>4.6655999999999996E-2</v>
      </c>
      <c r="AS74" s="20">
        <v>2.7993599999999997E-2</v>
      </c>
      <c r="AT74" s="20">
        <v>2.7993599999999997E-2</v>
      </c>
      <c r="AU74" s="20">
        <v>1.6796159999999997E-2</v>
      </c>
    </row>
    <row r="75" spans="2:47" ht="14.45" x14ac:dyDescent="0.3">
      <c r="F75" s="20">
        <v>0.36</v>
      </c>
      <c r="G75" s="20">
        <v>0.6</v>
      </c>
      <c r="H75" s="20">
        <v>0.6</v>
      </c>
      <c r="I75" s="20">
        <v>0.6</v>
      </c>
      <c r="J75" s="20">
        <v>1</v>
      </c>
      <c r="K75" s="20">
        <v>0.6</v>
      </c>
      <c r="L75" s="20">
        <v>0.6</v>
      </c>
      <c r="M75" s="20">
        <v>0.6</v>
      </c>
      <c r="N75" s="20">
        <v>0.36</v>
      </c>
      <c r="O75" s="20">
        <v>0.216</v>
      </c>
      <c r="P75" s="20">
        <v>0.12959999999999999</v>
      </c>
      <c r="Q75" s="20">
        <v>0.12959999999999999</v>
      </c>
      <c r="R75" s="20">
        <v>7.7759999999999996E-2</v>
      </c>
      <c r="S75" s="20">
        <v>0.36</v>
      </c>
      <c r="T75" s="20">
        <v>0.216</v>
      </c>
      <c r="U75" s="20">
        <v>0.216</v>
      </c>
      <c r="V75" s="20">
        <v>0.12959999999999999</v>
      </c>
      <c r="W75" s="20">
        <v>0.12959999999999999</v>
      </c>
      <c r="X75" s="20">
        <v>0.12959999999999999</v>
      </c>
      <c r="Y75" s="20">
        <v>7.7759999999999996E-2</v>
      </c>
      <c r="Z75" s="20">
        <v>7.7759999999999996E-2</v>
      </c>
      <c r="AA75" s="20">
        <v>4.6655999999999996E-2</v>
      </c>
      <c r="AB75" s="20">
        <v>4.6655999999999996E-2</v>
      </c>
      <c r="AC75" s="20">
        <v>4.6655999999999996E-2</v>
      </c>
      <c r="AD75" s="20">
        <v>2.7993599999999997E-2</v>
      </c>
      <c r="AE75" s="20">
        <v>2.7993599999999997E-2</v>
      </c>
      <c r="AF75" s="20">
        <v>7.7759999999999996E-2</v>
      </c>
      <c r="AG75" s="20">
        <v>7.7759999999999996E-2</v>
      </c>
      <c r="AH75" s="20">
        <v>0.12959999999999999</v>
      </c>
      <c r="AI75" s="20">
        <v>0.216</v>
      </c>
      <c r="AJ75" s="20">
        <v>0.12959999999999999</v>
      </c>
      <c r="AK75" s="20">
        <v>7.7759999999999996E-2</v>
      </c>
      <c r="AL75" s="20">
        <v>7.7759999999999996E-2</v>
      </c>
      <c r="AM75" s="20">
        <v>0.12959999999999999</v>
      </c>
      <c r="AN75" s="20">
        <v>0.12959999999999999</v>
      </c>
      <c r="AO75" s="20">
        <v>7.7759999999999996E-2</v>
      </c>
      <c r="AP75" s="20">
        <v>4.6655999999999996E-2</v>
      </c>
      <c r="AQ75" s="20">
        <v>4.6655999999999996E-2</v>
      </c>
      <c r="AR75" s="20">
        <v>2.7993599999999997E-2</v>
      </c>
      <c r="AS75" s="20">
        <v>1.6796159999999997E-2</v>
      </c>
      <c r="AT75" s="20">
        <v>1.6796159999999997E-2</v>
      </c>
      <c r="AU75" s="20">
        <v>1.0077695999999999E-2</v>
      </c>
    </row>
    <row r="76" spans="2:47" ht="14.45" x14ac:dyDescent="0.3">
      <c r="F76" s="20">
        <v>0.216</v>
      </c>
      <c r="G76" s="20">
        <v>0.36</v>
      </c>
      <c r="H76" s="20">
        <v>0.6</v>
      </c>
      <c r="I76" s="20">
        <v>0.36</v>
      </c>
      <c r="J76" s="20">
        <v>0.6</v>
      </c>
      <c r="K76" s="20">
        <v>1</v>
      </c>
      <c r="L76" s="20">
        <v>0.36</v>
      </c>
      <c r="M76" s="20">
        <v>0.6</v>
      </c>
      <c r="N76" s="20">
        <v>0.36</v>
      </c>
      <c r="O76" s="20">
        <v>0.216</v>
      </c>
      <c r="P76" s="20">
        <v>0.12959999999999999</v>
      </c>
      <c r="Q76" s="20">
        <v>0.12959999999999999</v>
      </c>
      <c r="R76" s="20">
        <v>7.7759999999999996E-2</v>
      </c>
      <c r="S76" s="20">
        <v>0.36</v>
      </c>
      <c r="T76" s="20">
        <v>0.216</v>
      </c>
      <c r="U76" s="20">
        <v>0.216</v>
      </c>
      <c r="V76" s="20">
        <v>0.12959999999999999</v>
      </c>
      <c r="W76" s="20">
        <v>0.12959999999999999</v>
      </c>
      <c r="X76" s="20">
        <v>0.12959999999999999</v>
      </c>
      <c r="Y76" s="20">
        <v>7.7759999999999996E-2</v>
      </c>
      <c r="Z76" s="20">
        <v>7.7759999999999996E-2</v>
      </c>
      <c r="AA76" s="20">
        <v>4.6655999999999996E-2</v>
      </c>
      <c r="AB76" s="20">
        <v>4.6655999999999996E-2</v>
      </c>
      <c r="AC76" s="20">
        <v>4.6655999999999996E-2</v>
      </c>
      <c r="AD76" s="20">
        <v>2.7993599999999997E-2</v>
      </c>
      <c r="AE76" s="20">
        <v>2.7993599999999997E-2</v>
      </c>
      <c r="AF76" s="20">
        <v>7.7759999999999996E-2</v>
      </c>
      <c r="AG76" s="20">
        <v>4.6655999999999996E-2</v>
      </c>
      <c r="AH76" s="20">
        <v>7.7759999999999996E-2</v>
      </c>
      <c r="AI76" s="20">
        <v>0.12959999999999999</v>
      </c>
      <c r="AJ76" s="20">
        <v>7.7759999999999996E-2</v>
      </c>
      <c r="AK76" s="20">
        <v>7.7759999999999996E-2</v>
      </c>
      <c r="AL76" s="20">
        <v>4.6655999999999996E-2</v>
      </c>
      <c r="AM76" s="20">
        <v>7.7759999999999996E-2</v>
      </c>
      <c r="AN76" s="20">
        <v>7.7759999999999996E-2</v>
      </c>
      <c r="AO76" s="20">
        <v>7.7759999999999996E-2</v>
      </c>
      <c r="AP76" s="20">
        <v>4.6655999999999996E-2</v>
      </c>
      <c r="AQ76" s="20">
        <v>2.7993599999999997E-2</v>
      </c>
      <c r="AR76" s="20">
        <v>1.6796159999999997E-2</v>
      </c>
      <c r="AS76" s="20">
        <v>1.0077695999999999E-2</v>
      </c>
      <c r="AT76" s="20">
        <v>1.0077695999999999E-2</v>
      </c>
      <c r="AU76" s="20">
        <v>6.0466175999999991E-3</v>
      </c>
    </row>
    <row r="77" spans="2:47" ht="14.45" x14ac:dyDescent="0.3">
      <c r="F77" s="20">
        <v>0.36</v>
      </c>
      <c r="G77" s="20">
        <v>0.36</v>
      </c>
      <c r="H77" s="20">
        <v>0.36</v>
      </c>
      <c r="I77" s="20">
        <v>0.6</v>
      </c>
      <c r="J77" s="20">
        <v>0.6</v>
      </c>
      <c r="K77" s="20">
        <v>0.36</v>
      </c>
      <c r="L77" s="20">
        <v>1</v>
      </c>
      <c r="M77" s="20">
        <v>0.6</v>
      </c>
      <c r="N77" s="20">
        <v>0.6</v>
      </c>
      <c r="O77" s="20">
        <v>0.36</v>
      </c>
      <c r="P77" s="20">
        <v>0.216</v>
      </c>
      <c r="Q77" s="20">
        <v>0.216</v>
      </c>
      <c r="R77" s="20">
        <v>0.12959999999999999</v>
      </c>
      <c r="S77" s="20">
        <v>0.216</v>
      </c>
      <c r="T77" s="20">
        <v>0.12959999999999999</v>
      </c>
      <c r="U77" s="20">
        <v>0.12959999999999999</v>
      </c>
      <c r="V77" s="20">
        <v>7.7759999999999996E-2</v>
      </c>
      <c r="W77" s="20">
        <v>7.7759999999999996E-2</v>
      </c>
      <c r="X77" s="20">
        <v>7.7759999999999996E-2</v>
      </c>
      <c r="Y77" s="20">
        <v>7.7759999999999996E-2</v>
      </c>
      <c r="Z77" s="20">
        <v>0.12959999999999999</v>
      </c>
      <c r="AA77" s="20">
        <v>7.7759999999999996E-2</v>
      </c>
      <c r="AB77" s="20">
        <v>7.7759999999999996E-2</v>
      </c>
      <c r="AC77" s="20">
        <v>7.7759999999999996E-2</v>
      </c>
      <c r="AD77" s="20">
        <v>4.6655999999999996E-2</v>
      </c>
      <c r="AE77" s="20">
        <v>4.6655999999999996E-2</v>
      </c>
      <c r="AF77" s="20">
        <v>4.6655999999999996E-2</v>
      </c>
      <c r="AG77" s="20">
        <v>7.7759999999999996E-2</v>
      </c>
      <c r="AH77" s="20">
        <v>0.12959999999999999</v>
      </c>
      <c r="AI77" s="20">
        <v>0.216</v>
      </c>
      <c r="AJ77" s="20">
        <v>0.12959999999999999</v>
      </c>
      <c r="AK77" s="20">
        <v>4.6655999999999996E-2</v>
      </c>
      <c r="AL77" s="20">
        <v>7.7759999999999996E-2</v>
      </c>
      <c r="AM77" s="20">
        <v>0.12959999999999999</v>
      </c>
      <c r="AN77" s="20">
        <v>0.12959999999999999</v>
      </c>
      <c r="AO77" s="20">
        <v>4.6655999999999996E-2</v>
      </c>
      <c r="AP77" s="20">
        <v>4.6655999999999996E-2</v>
      </c>
      <c r="AQ77" s="20">
        <v>4.6655999999999996E-2</v>
      </c>
      <c r="AR77" s="20">
        <v>2.7993599999999997E-2</v>
      </c>
      <c r="AS77" s="20">
        <v>1.6796159999999997E-2</v>
      </c>
      <c r="AT77" s="20">
        <v>1.6796159999999997E-2</v>
      </c>
      <c r="AU77" s="20">
        <v>1.0077695999999999E-2</v>
      </c>
    </row>
    <row r="78" spans="2:47" ht="14.45" x14ac:dyDescent="0.3">
      <c r="F78" s="20">
        <v>0.216</v>
      </c>
      <c r="G78" s="20">
        <v>0.36</v>
      </c>
      <c r="H78" s="20">
        <v>0.36</v>
      </c>
      <c r="I78" s="20">
        <v>0.36</v>
      </c>
      <c r="J78" s="20">
        <v>0.6</v>
      </c>
      <c r="K78" s="20">
        <v>0.6</v>
      </c>
      <c r="L78" s="20">
        <v>0.6</v>
      </c>
      <c r="M78" s="20">
        <v>1</v>
      </c>
      <c r="N78" s="20">
        <v>0.6</v>
      </c>
      <c r="O78" s="20">
        <v>0.36</v>
      </c>
      <c r="P78" s="20">
        <v>0.216</v>
      </c>
      <c r="Q78" s="20">
        <v>0.216</v>
      </c>
      <c r="R78" s="20">
        <v>0.12959999999999999</v>
      </c>
      <c r="S78" s="20">
        <v>0.216</v>
      </c>
      <c r="T78" s="20">
        <v>0.12959999999999999</v>
      </c>
      <c r="U78" s="20">
        <v>0.12959999999999999</v>
      </c>
      <c r="V78" s="20">
        <v>7.7759999999999996E-2</v>
      </c>
      <c r="W78" s="20">
        <v>7.7759999999999996E-2</v>
      </c>
      <c r="X78" s="20">
        <v>7.7759999999999996E-2</v>
      </c>
      <c r="Y78" s="20">
        <v>7.7759999999999996E-2</v>
      </c>
      <c r="Z78" s="20">
        <v>0.12959999999999999</v>
      </c>
      <c r="AA78" s="20">
        <v>7.7759999999999996E-2</v>
      </c>
      <c r="AB78" s="20">
        <v>7.7759999999999996E-2</v>
      </c>
      <c r="AC78" s="20">
        <v>7.7759999999999996E-2</v>
      </c>
      <c r="AD78" s="20">
        <v>4.6655999999999996E-2</v>
      </c>
      <c r="AE78" s="20">
        <v>4.6655999999999996E-2</v>
      </c>
      <c r="AF78" s="20">
        <v>4.6655999999999996E-2</v>
      </c>
      <c r="AG78" s="20">
        <v>4.6655999999999996E-2</v>
      </c>
      <c r="AH78" s="20">
        <v>7.7759999999999996E-2</v>
      </c>
      <c r="AI78" s="20">
        <v>0.12959999999999999</v>
      </c>
      <c r="AJ78" s="20">
        <v>7.7759999999999996E-2</v>
      </c>
      <c r="AK78" s="20">
        <v>4.6655999999999996E-2</v>
      </c>
      <c r="AL78" s="20">
        <v>4.6655999999999996E-2</v>
      </c>
      <c r="AM78" s="20">
        <v>7.7759999999999996E-2</v>
      </c>
      <c r="AN78" s="20">
        <v>7.7759999999999996E-2</v>
      </c>
      <c r="AO78" s="20">
        <v>4.6655999999999996E-2</v>
      </c>
      <c r="AP78" s="20">
        <v>2.7993599999999997E-2</v>
      </c>
      <c r="AQ78" s="20">
        <v>2.7993599999999997E-2</v>
      </c>
      <c r="AR78" s="20">
        <v>1.6796159999999997E-2</v>
      </c>
      <c r="AS78" s="20">
        <v>1.0077695999999999E-2</v>
      </c>
      <c r="AT78" s="20">
        <v>1.0077695999999999E-2</v>
      </c>
      <c r="AU78" s="20">
        <v>6.0466175999999991E-3</v>
      </c>
    </row>
    <row r="79" spans="2:47" ht="14.45" x14ac:dyDescent="0.3">
      <c r="F79" s="20">
        <v>0.216</v>
      </c>
      <c r="G79" s="20">
        <v>0.216</v>
      </c>
      <c r="H79" s="20">
        <v>0.216</v>
      </c>
      <c r="I79" s="20">
        <v>0.36</v>
      </c>
      <c r="J79" s="20">
        <v>0.36</v>
      </c>
      <c r="K79" s="20">
        <v>0.36</v>
      </c>
      <c r="L79" s="20">
        <v>0.6</v>
      </c>
      <c r="M79" s="20">
        <v>0.6</v>
      </c>
      <c r="N79" s="20">
        <v>1</v>
      </c>
      <c r="O79" s="20">
        <v>0.6</v>
      </c>
      <c r="P79" s="20">
        <v>0.36</v>
      </c>
      <c r="Q79" s="20">
        <v>0.36</v>
      </c>
      <c r="R79" s="20">
        <v>0.216</v>
      </c>
      <c r="S79" s="20">
        <v>0.12959999999999999</v>
      </c>
      <c r="T79" s="20">
        <v>7.7759999999999996E-2</v>
      </c>
      <c r="U79" s="20">
        <v>7.7759999999999996E-2</v>
      </c>
      <c r="V79" s="20">
        <v>7.7759999999999996E-2</v>
      </c>
      <c r="W79" s="20">
        <v>0.12959999999999999</v>
      </c>
      <c r="X79" s="20">
        <v>7.7759999999999996E-2</v>
      </c>
      <c r="Y79" s="20">
        <v>0.12959999999999999</v>
      </c>
      <c r="Z79" s="20">
        <v>0.216</v>
      </c>
      <c r="AA79" s="20">
        <v>0.12959999999999999</v>
      </c>
      <c r="AB79" s="20">
        <v>0.12959999999999999</v>
      </c>
      <c r="AC79" s="20">
        <v>0.12959999999999999</v>
      </c>
      <c r="AD79" s="20">
        <v>7.7759999999999996E-2</v>
      </c>
      <c r="AE79" s="20">
        <v>7.7759999999999996E-2</v>
      </c>
      <c r="AF79" s="20">
        <v>4.6655999999999996E-2</v>
      </c>
      <c r="AG79" s="20">
        <v>4.6655999999999996E-2</v>
      </c>
      <c r="AH79" s="20">
        <v>7.7759999999999996E-2</v>
      </c>
      <c r="AI79" s="20">
        <v>0.12959999999999999</v>
      </c>
      <c r="AJ79" s="20">
        <v>7.7759999999999996E-2</v>
      </c>
      <c r="AK79" s="20">
        <v>4.6655999999999996E-2</v>
      </c>
      <c r="AL79" s="20">
        <v>4.6655999999999996E-2</v>
      </c>
      <c r="AM79" s="20">
        <v>7.7759999999999996E-2</v>
      </c>
      <c r="AN79" s="20">
        <v>7.7759999999999996E-2</v>
      </c>
      <c r="AO79" s="20">
        <v>7.7759999999999996E-2</v>
      </c>
      <c r="AP79" s="20">
        <v>4.6655999999999996E-2</v>
      </c>
      <c r="AQ79" s="20">
        <v>2.7993599999999997E-2</v>
      </c>
      <c r="AR79" s="20">
        <v>1.6796159999999997E-2</v>
      </c>
      <c r="AS79" s="20">
        <v>1.0077695999999999E-2</v>
      </c>
      <c r="AT79" s="20">
        <v>1.0077695999999999E-2</v>
      </c>
      <c r="AU79" s="20">
        <v>6.0466175999999991E-3</v>
      </c>
    </row>
    <row r="80" spans="2:47" ht="14.45" x14ac:dyDescent="0.3">
      <c r="F80" s="20">
        <v>0.12959999999999999</v>
      </c>
      <c r="G80" s="20">
        <v>0.12959999999999999</v>
      </c>
      <c r="H80" s="20">
        <v>0.12959999999999999</v>
      </c>
      <c r="I80" s="20">
        <v>0.216</v>
      </c>
      <c r="J80" s="20">
        <v>0.216</v>
      </c>
      <c r="K80" s="20">
        <v>0.216</v>
      </c>
      <c r="L80" s="20">
        <v>0.36</v>
      </c>
      <c r="M80" s="20">
        <v>0.36</v>
      </c>
      <c r="N80" s="20">
        <v>0.6</v>
      </c>
      <c r="O80" s="20">
        <v>1</v>
      </c>
      <c r="P80" s="20">
        <v>0.6</v>
      </c>
      <c r="Q80" s="20">
        <v>0.6</v>
      </c>
      <c r="R80" s="20">
        <v>0.36</v>
      </c>
      <c r="S80" s="20">
        <v>7.7759999999999996E-2</v>
      </c>
      <c r="T80" s="20">
        <v>0.12959999999999999</v>
      </c>
      <c r="U80" s="20">
        <v>7.7759999999999996E-2</v>
      </c>
      <c r="V80" s="20">
        <v>0.12959999999999999</v>
      </c>
      <c r="W80" s="20">
        <v>0.216</v>
      </c>
      <c r="X80" s="20">
        <v>0.12959999999999999</v>
      </c>
      <c r="Y80" s="20">
        <v>0.216</v>
      </c>
      <c r="Z80" s="20">
        <v>0.36</v>
      </c>
      <c r="AA80" s="20">
        <v>0.216</v>
      </c>
      <c r="AB80" s="20">
        <v>0.216</v>
      </c>
      <c r="AC80" s="20">
        <v>0.216</v>
      </c>
      <c r="AD80" s="20">
        <v>0.12959999999999999</v>
      </c>
      <c r="AE80" s="20">
        <v>0.12959999999999999</v>
      </c>
      <c r="AF80" s="20">
        <v>7.7759999999999996E-2</v>
      </c>
      <c r="AG80" s="20">
        <v>4.6655999999999996E-2</v>
      </c>
      <c r="AH80" s="20">
        <v>4.6655999999999996E-2</v>
      </c>
      <c r="AI80" s="20">
        <v>7.7759999999999996E-2</v>
      </c>
      <c r="AJ80" s="20">
        <v>4.6655999999999996E-2</v>
      </c>
      <c r="AK80" s="20">
        <v>7.7759999999999996E-2</v>
      </c>
      <c r="AL80" s="20">
        <v>4.6655999999999996E-2</v>
      </c>
      <c r="AM80" s="20">
        <v>4.6655999999999996E-2</v>
      </c>
      <c r="AN80" s="20">
        <v>4.6655999999999996E-2</v>
      </c>
      <c r="AO80" s="20">
        <v>0.12959999999999999</v>
      </c>
      <c r="AP80" s="20">
        <v>7.7759999999999996E-2</v>
      </c>
      <c r="AQ80" s="20">
        <v>4.6655999999999996E-2</v>
      </c>
      <c r="AR80" s="20">
        <v>2.7993599999999997E-2</v>
      </c>
      <c r="AS80" s="20">
        <v>1.6796159999999997E-2</v>
      </c>
      <c r="AT80" s="20">
        <v>1.6796159999999997E-2</v>
      </c>
      <c r="AU80" s="20">
        <v>1.0077695999999999E-2</v>
      </c>
    </row>
    <row r="81" spans="6:47" ht="14.45" x14ac:dyDescent="0.3">
      <c r="F81" s="20">
        <v>7.7759999999999996E-2</v>
      </c>
      <c r="G81" s="20">
        <v>7.7759999999999996E-2</v>
      </c>
      <c r="H81" s="20">
        <v>7.7759999999999996E-2</v>
      </c>
      <c r="I81" s="20">
        <v>0.12959999999999999</v>
      </c>
      <c r="J81" s="20">
        <v>0.12959999999999999</v>
      </c>
      <c r="K81" s="20">
        <v>0.12959999999999999</v>
      </c>
      <c r="L81" s="20">
        <v>0.216</v>
      </c>
      <c r="M81" s="20">
        <v>0.216</v>
      </c>
      <c r="N81" s="20">
        <v>0.36</v>
      </c>
      <c r="O81" s="20">
        <v>0.6</v>
      </c>
      <c r="P81" s="20">
        <v>1</v>
      </c>
      <c r="Q81" s="20">
        <v>0.6</v>
      </c>
      <c r="R81" s="20">
        <v>0.6</v>
      </c>
      <c r="S81" s="20">
        <v>7.7759999999999996E-2</v>
      </c>
      <c r="T81" s="20">
        <v>0.12959999999999999</v>
      </c>
      <c r="U81" s="20">
        <v>7.7759999999999996E-2</v>
      </c>
      <c r="V81" s="20">
        <v>0.12959999999999999</v>
      </c>
      <c r="W81" s="20">
        <v>0.216</v>
      </c>
      <c r="X81" s="20">
        <v>0.12959999999999999</v>
      </c>
      <c r="Y81" s="20">
        <v>0.216</v>
      </c>
      <c r="Z81" s="20">
        <v>0.36</v>
      </c>
      <c r="AA81" s="20">
        <v>0.216</v>
      </c>
      <c r="AB81" s="20">
        <v>0.216</v>
      </c>
      <c r="AC81" s="20">
        <v>0.216</v>
      </c>
      <c r="AD81" s="20">
        <v>0.12959999999999999</v>
      </c>
      <c r="AE81" s="20">
        <v>0.12959999999999999</v>
      </c>
      <c r="AF81" s="20">
        <v>7.7759999999999996E-2</v>
      </c>
      <c r="AG81" s="20">
        <v>4.6655999999999996E-2</v>
      </c>
      <c r="AH81" s="20">
        <v>2.7993599999999997E-2</v>
      </c>
      <c r="AI81" s="20">
        <v>4.6655999999999996E-2</v>
      </c>
      <c r="AJ81" s="20">
        <v>2.7993599999999997E-2</v>
      </c>
      <c r="AK81" s="20">
        <v>7.7759999999999996E-2</v>
      </c>
      <c r="AL81" s="20">
        <v>4.6655999999999996E-2</v>
      </c>
      <c r="AM81" s="20">
        <v>2.7993599999999997E-2</v>
      </c>
      <c r="AN81" s="20">
        <v>2.7993599999999997E-2</v>
      </c>
      <c r="AO81" s="20">
        <v>0.12959999999999999</v>
      </c>
      <c r="AP81" s="20">
        <v>7.7759999999999996E-2</v>
      </c>
      <c r="AQ81" s="20">
        <v>4.6655999999999996E-2</v>
      </c>
      <c r="AR81" s="20">
        <v>2.7993599999999997E-2</v>
      </c>
      <c r="AS81" s="20">
        <v>1.6796159999999997E-2</v>
      </c>
      <c r="AT81" s="20">
        <v>1.6796159999999997E-2</v>
      </c>
      <c r="AU81" s="20">
        <v>1.0077695999999999E-2</v>
      </c>
    </row>
    <row r="82" spans="6:47" ht="14.45" x14ac:dyDescent="0.3">
      <c r="F82" s="20">
        <v>7.7759999999999996E-2</v>
      </c>
      <c r="G82" s="20">
        <v>7.7759999999999996E-2</v>
      </c>
      <c r="H82" s="20">
        <v>7.7759999999999996E-2</v>
      </c>
      <c r="I82" s="20">
        <v>0.12959999999999999</v>
      </c>
      <c r="J82" s="20">
        <v>0.12959999999999999</v>
      </c>
      <c r="K82" s="20">
        <v>0.12959999999999999</v>
      </c>
      <c r="L82" s="20">
        <v>0.216</v>
      </c>
      <c r="M82" s="20">
        <v>0.216</v>
      </c>
      <c r="N82" s="20">
        <v>0.36</v>
      </c>
      <c r="O82" s="20">
        <v>0.6</v>
      </c>
      <c r="P82" s="20">
        <v>0.6</v>
      </c>
      <c r="Q82" s="20">
        <v>1</v>
      </c>
      <c r="R82" s="20">
        <v>0.6</v>
      </c>
      <c r="S82" s="20">
        <v>0.12959999999999999</v>
      </c>
      <c r="T82" s="20">
        <v>0.216</v>
      </c>
      <c r="U82" s="20">
        <v>0.12959999999999999</v>
      </c>
      <c r="V82" s="20">
        <v>0.216</v>
      </c>
      <c r="W82" s="20">
        <v>0.36</v>
      </c>
      <c r="X82" s="20">
        <v>0.216</v>
      </c>
      <c r="Y82" s="20">
        <v>0.36</v>
      </c>
      <c r="Z82" s="20">
        <v>0.6</v>
      </c>
      <c r="AA82" s="20">
        <v>0.36</v>
      </c>
      <c r="AB82" s="20">
        <v>0.36</v>
      </c>
      <c r="AC82" s="20">
        <v>0.36</v>
      </c>
      <c r="AD82" s="20">
        <v>0.216</v>
      </c>
      <c r="AE82" s="20">
        <v>0.216</v>
      </c>
      <c r="AF82" s="20">
        <v>0.12959999999999999</v>
      </c>
      <c r="AG82" s="20">
        <v>7.7759999999999996E-2</v>
      </c>
      <c r="AH82" s="20">
        <v>4.6655999999999996E-2</v>
      </c>
      <c r="AI82" s="20">
        <v>4.6655999999999996E-2</v>
      </c>
      <c r="AJ82" s="20">
        <v>4.6655999999999996E-2</v>
      </c>
      <c r="AK82" s="20">
        <v>0.12959999999999999</v>
      </c>
      <c r="AL82" s="20">
        <v>7.7759999999999996E-2</v>
      </c>
      <c r="AM82" s="20">
        <v>4.6655999999999996E-2</v>
      </c>
      <c r="AN82" s="20">
        <v>2.7993599999999997E-2</v>
      </c>
      <c r="AO82" s="20">
        <v>0.216</v>
      </c>
      <c r="AP82" s="20">
        <v>0.12959999999999999</v>
      </c>
      <c r="AQ82" s="20">
        <v>7.7759999999999996E-2</v>
      </c>
      <c r="AR82" s="20">
        <v>4.6655999999999996E-2</v>
      </c>
      <c r="AS82" s="20">
        <v>2.7993599999999997E-2</v>
      </c>
      <c r="AT82" s="20">
        <v>2.7993599999999997E-2</v>
      </c>
      <c r="AU82" s="20">
        <v>1.6796159999999997E-2</v>
      </c>
    </row>
    <row r="83" spans="6:47" ht="14.45" x14ac:dyDescent="0.3">
      <c r="F83" s="20">
        <v>4.6655999999999996E-2</v>
      </c>
      <c r="G83" s="20">
        <v>4.6655999999999996E-2</v>
      </c>
      <c r="H83" s="20">
        <v>4.6655999999999996E-2</v>
      </c>
      <c r="I83" s="20">
        <v>7.7759999999999996E-2</v>
      </c>
      <c r="J83" s="20">
        <v>7.7759999999999996E-2</v>
      </c>
      <c r="K83" s="20">
        <v>7.7759999999999996E-2</v>
      </c>
      <c r="L83" s="20">
        <v>0.12959999999999999</v>
      </c>
      <c r="M83" s="20">
        <v>0.12959999999999999</v>
      </c>
      <c r="N83" s="20">
        <v>0.216</v>
      </c>
      <c r="O83" s="20">
        <v>0.36</v>
      </c>
      <c r="P83" s="20">
        <v>0.6</v>
      </c>
      <c r="Q83" s="20">
        <v>0.6</v>
      </c>
      <c r="R83" s="20">
        <v>1</v>
      </c>
      <c r="S83" s="20">
        <v>7.7759999999999996E-2</v>
      </c>
      <c r="T83" s="20">
        <v>0.12959999999999999</v>
      </c>
      <c r="U83" s="20">
        <v>7.7759999999999996E-2</v>
      </c>
      <c r="V83" s="20">
        <v>0.12959999999999999</v>
      </c>
      <c r="W83" s="20">
        <v>0.216</v>
      </c>
      <c r="X83" s="20">
        <v>0.12959999999999999</v>
      </c>
      <c r="Y83" s="20">
        <v>0.216</v>
      </c>
      <c r="Z83" s="20">
        <v>0.36</v>
      </c>
      <c r="AA83" s="20">
        <v>0.216</v>
      </c>
      <c r="AB83" s="20">
        <v>0.216</v>
      </c>
      <c r="AC83" s="20">
        <v>0.216</v>
      </c>
      <c r="AD83" s="20">
        <v>0.12959999999999999</v>
      </c>
      <c r="AE83" s="20">
        <v>0.12959999999999999</v>
      </c>
      <c r="AF83" s="20">
        <v>7.7759999999999996E-2</v>
      </c>
      <c r="AG83" s="20">
        <v>4.6655999999999996E-2</v>
      </c>
      <c r="AH83" s="20">
        <v>2.7993599999999997E-2</v>
      </c>
      <c r="AI83" s="20">
        <v>2.7993599999999997E-2</v>
      </c>
      <c r="AJ83" s="20">
        <v>2.7993599999999997E-2</v>
      </c>
      <c r="AK83" s="20">
        <v>7.7759999999999996E-2</v>
      </c>
      <c r="AL83" s="20">
        <v>4.6655999999999996E-2</v>
      </c>
      <c r="AM83" s="20">
        <v>2.7993599999999997E-2</v>
      </c>
      <c r="AN83" s="20">
        <v>1.6796159999999997E-2</v>
      </c>
      <c r="AO83" s="20">
        <v>0.12959999999999999</v>
      </c>
      <c r="AP83" s="20">
        <v>7.7759999999999996E-2</v>
      </c>
      <c r="AQ83" s="20">
        <v>4.6655999999999996E-2</v>
      </c>
      <c r="AR83" s="20">
        <v>2.7993599999999997E-2</v>
      </c>
      <c r="AS83" s="20">
        <v>1.6796159999999997E-2</v>
      </c>
      <c r="AT83" s="20">
        <v>1.6796159999999997E-2</v>
      </c>
      <c r="AU83" s="20">
        <v>1.0077695999999999E-2</v>
      </c>
    </row>
    <row r="84" spans="6:47" ht="14.45" x14ac:dyDescent="0.3">
      <c r="F84" s="20">
        <v>0.216</v>
      </c>
      <c r="G84" s="20">
        <v>0.36</v>
      </c>
      <c r="H84" s="20">
        <v>0.6</v>
      </c>
      <c r="I84" s="20">
        <v>0.216</v>
      </c>
      <c r="J84" s="20">
        <v>0.36</v>
      </c>
      <c r="K84" s="20">
        <v>0.36</v>
      </c>
      <c r="L84" s="20">
        <v>0.216</v>
      </c>
      <c r="M84" s="20">
        <v>0.216</v>
      </c>
      <c r="N84" s="20">
        <v>0.12959999999999999</v>
      </c>
      <c r="O84" s="20">
        <v>7.7759999999999996E-2</v>
      </c>
      <c r="P84" s="20">
        <v>7.7759999999999996E-2</v>
      </c>
      <c r="Q84" s="20">
        <v>0.12959999999999999</v>
      </c>
      <c r="R84" s="20">
        <v>7.7759999999999996E-2</v>
      </c>
      <c r="S84" s="20">
        <v>1</v>
      </c>
      <c r="T84" s="20">
        <v>0.6</v>
      </c>
      <c r="U84" s="20">
        <v>0.6</v>
      </c>
      <c r="V84" s="20">
        <v>0.36</v>
      </c>
      <c r="W84" s="20">
        <v>0.36</v>
      </c>
      <c r="X84" s="20">
        <v>0.36</v>
      </c>
      <c r="Y84" s="20">
        <v>0.216</v>
      </c>
      <c r="Z84" s="20">
        <v>0.216</v>
      </c>
      <c r="AA84" s="20">
        <v>0.12959999999999999</v>
      </c>
      <c r="AB84" s="20">
        <v>0.12959999999999999</v>
      </c>
      <c r="AC84" s="20">
        <v>0.12959999999999999</v>
      </c>
      <c r="AD84" s="20">
        <v>7.7759999999999996E-2</v>
      </c>
      <c r="AE84" s="20">
        <v>7.7759999999999996E-2</v>
      </c>
      <c r="AF84" s="20">
        <v>0.216</v>
      </c>
      <c r="AG84" s="20">
        <v>0.12959999999999999</v>
      </c>
      <c r="AH84" s="20">
        <v>7.7759999999999996E-2</v>
      </c>
      <c r="AI84" s="20">
        <v>0.12959999999999999</v>
      </c>
      <c r="AJ84" s="20">
        <v>7.7759999999999996E-2</v>
      </c>
      <c r="AK84" s="20">
        <v>0.216</v>
      </c>
      <c r="AL84" s="20">
        <v>0.12959999999999999</v>
      </c>
      <c r="AM84" s="20">
        <v>7.7759999999999996E-2</v>
      </c>
      <c r="AN84" s="20">
        <v>7.7759999999999996E-2</v>
      </c>
      <c r="AO84" s="20">
        <v>0.216</v>
      </c>
      <c r="AP84" s="20">
        <v>0.12959999999999999</v>
      </c>
      <c r="AQ84" s="20">
        <v>7.7759999999999996E-2</v>
      </c>
      <c r="AR84" s="20">
        <v>4.6655999999999996E-2</v>
      </c>
      <c r="AS84" s="20">
        <v>2.7993599999999997E-2</v>
      </c>
      <c r="AT84" s="20">
        <v>2.7993599999999997E-2</v>
      </c>
      <c r="AU84" s="20">
        <v>1.6796159999999997E-2</v>
      </c>
    </row>
    <row r="85" spans="6:47" ht="14.45" x14ac:dyDescent="0.3">
      <c r="F85" s="20">
        <v>0.12959999999999999</v>
      </c>
      <c r="G85" s="20">
        <v>0.216</v>
      </c>
      <c r="H85" s="20">
        <v>0.36</v>
      </c>
      <c r="I85" s="20">
        <v>0.12959999999999999</v>
      </c>
      <c r="J85" s="20">
        <v>0.216</v>
      </c>
      <c r="K85" s="20">
        <v>0.216</v>
      </c>
      <c r="L85" s="20">
        <v>0.12959999999999999</v>
      </c>
      <c r="M85" s="20">
        <v>0.12959999999999999</v>
      </c>
      <c r="N85" s="20">
        <v>7.7759999999999996E-2</v>
      </c>
      <c r="O85" s="20">
        <v>0.12959999999999999</v>
      </c>
      <c r="P85" s="20">
        <v>0.12959999999999999</v>
      </c>
      <c r="Q85" s="20">
        <v>0.216</v>
      </c>
      <c r="R85" s="20">
        <v>0.12959999999999999</v>
      </c>
      <c r="S85" s="20">
        <v>0.6</v>
      </c>
      <c r="T85" s="20">
        <v>1</v>
      </c>
      <c r="U85" s="20">
        <v>0.6</v>
      </c>
      <c r="V85" s="20">
        <v>0.36</v>
      </c>
      <c r="W85" s="20">
        <v>0.6</v>
      </c>
      <c r="X85" s="20">
        <v>0.6</v>
      </c>
      <c r="Y85" s="20">
        <v>0.36</v>
      </c>
      <c r="Z85" s="20">
        <v>0.36</v>
      </c>
      <c r="AA85" s="20">
        <v>0.216</v>
      </c>
      <c r="AB85" s="20">
        <v>0.216</v>
      </c>
      <c r="AC85" s="20">
        <v>0.216</v>
      </c>
      <c r="AD85" s="20">
        <v>0.12959999999999999</v>
      </c>
      <c r="AE85" s="20">
        <v>0.12959999999999999</v>
      </c>
      <c r="AF85" s="20">
        <v>0.216</v>
      </c>
      <c r="AG85" s="20">
        <v>0.12959999999999999</v>
      </c>
      <c r="AH85" s="20">
        <v>7.7759999999999996E-2</v>
      </c>
      <c r="AI85" s="20">
        <v>7.7759999999999996E-2</v>
      </c>
      <c r="AJ85" s="20">
        <v>7.7759999999999996E-2</v>
      </c>
      <c r="AK85" s="20">
        <v>0.216</v>
      </c>
      <c r="AL85" s="20">
        <v>0.12959999999999999</v>
      </c>
      <c r="AM85" s="20">
        <v>7.7759999999999996E-2</v>
      </c>
      <c r="AN85" s="20">
        <v>4.6655999999999996E-2</v>
      </c>
      <c r="AO85" s="20">
        <v>0.216</v>
      </c>
      <c r="AP85" s="20">
        <v>0.12959999999999999</v>
      </c>
      <c r="AQ85" s="20">
        <v>7.7759999999999996E-2</v>
      </c>
      <c r="AR85" s="20">
        <v>4.6655999999999996E-2</v>
      </c>
      <c r="AS85" s="20">
        <v>2.7993599999999997E-2</v>
      </c>
      <c r="AT85" s="20">
        <v>2.7993599999999997E-2</v>
      </c>
      <c r="AU85" s="20">
        <v>1.6796159999999997E-2</v>
      </c>
    </row>
    <row r="86" spans="6:47" ht="14.45" x14ac:dyDescent="0.3">
      <c r="F86" s="20">
        <v>0.12959999999999999</v>
      </c>
      <c r="G86" s="20">
        <v>0.216</v>
      </c>
      <c r="H86" s="20">
        <v>0.36</v>
      </c>
      <c r="I86" s="20">
        <v>0.12959999999999999</v>
      </c>
      <c r="J86" s="20">
        <v>0.216</v>
      </c>
      <c r="K86" s="20">
        <v>0.216</v>
      </c>
      <c r="L86" s="20">
        <v>0.12959999999999999</v>
      </c>
      <c r="M86" s="20">
        <v>0.12959999999999999</v>
      </c>
      <c r="N86" s="20">
        <v>7.7759999999999996E-2</v>
      </c>
      <c r="O86" s="20">
        <v>7.7759999999999996E-2</v>
      </c>
      <c r="P86" s="20">
        <v>7.7759999999999996E-2</v>
      </c>
      <c r="Q86" s="20">
        <v>0.12959999999999999</v>
      </c>
      <c r="R86" s="20">
        <v>7.7759999999999996E-2</v>
      </c>
      <c r="S86" s="20">
        <v>0.6</v>
      </c>
      <c r="T86" s="20">
        <v>0.6</v>
      </c>
      <c r="U86" s="20">
        <v>1</v>
      </c>
      <c r="V86" s="20">
        <v>0.6</v>
      </c>
      <c r="W86" s="20">
        <v>0.36</v>
      </c>
      <c r="X86" s="20">
        <v>0.36</v>
      </c>
      <c r="Y86" s="20">
        <v>0.36</v>
      </c>
      <c r="Z86" s="20">
        <v>0.216</v>
      </c>
      <c r="AA86" s="20">
        <v>0.216</v>
      </c>
      <c r="AB86" s="20">
        <v>0.216</v>
      </c>
      <c r="AC86" s="20">
        <v>0.12959999999999999</v>
      </c>
      <c r="AD86" s="20">
        <v>0.12959999999999999</v>
      </c>
      <c r="AE86" s="20">
        <v>0.12959999999999999</v>
      </c>
      <c r="AF86" s="20">
        <v>0.36</v>
      </c>
      <c r="AG86" s="20">
        <v>0.216</v>
      </c>
      <c r="AH86" s="20">
        <v>0.12959999999999999</v>
      </c>
      <c r="AI86" s="20">
        <v>7.7759999999999996E-2</v>
      </c>
      <c r="AJ86" s="20">
        <v>0.12959999999999999</v>
      </c>
      <c r="AK86" s="20">
        <v>0.36</v>
      </c>
      <c r="AL86" s="20">
        <v>0.216</v>
      </c>
      <c r="AM86" s="20">
        <v>0.12959999999999999</v>
      </c>
      <c r="AN86" s="20">
        <v>7.7759999999999996E-2</v>
      </c>
      <c r="AO86" s="20">
        <v>0.36</v>
      </c>
      <c r="AP86" s="20">
        <v>0.216</v>
      </c>
      <c r="AQ86" s="20">
        <v>0.12959999999999999</v>
      </c>
      <c r="AR86" s="20">
        <v>7.7759999999999996E-2</v>
      </c>
      <c r="AS86" s="20">
        <v>4.6655999999999996E-2</v>
      </c>
      <c r="AT86" s="20">
        <v>4.6655999999999996E-2</v>
      </c>
      <c r="AU86" s="20">
        <v>2.7993599999999997E-2</v>
      </c>
    </row>
    <row r="87" spans="6:47" ht="14.45" x14ac:dyDescent="0.3">
      <c r="F87" s="20">
        <v>7.7759999999999996E-2</v>
      </c>
      <c r="G87" s="20">
        <v>0.12959999999999999</v>
      </c>
      <c r="H87" s="20">
        <v>0.216</v>
      </c>
      <c r="I87" s="20">
        <v>7.7759999999999996E-2</v>
      </c>
      <c r="J87" s="20">
        <v>0.12959999999999999</v>
      </c>
      <c r="K87" s="20">
        <v>0.12959999999999999</v>
      </c>
      <c r="L87" s="20">
        <v>7.7759999999999996E-2</v>
      </c>
      <c r="M87" s="20">
        <v>7.7759999999999996E-2</v>
      </c>
      <c r="N87" s="20">
        <v>7.7759999999999996E-2</v>
      </c>
      <c r="O87" s="20">
        <v>0.12959999999999999</v>
      </c>
      <c r="P87" s="20">
        <v>0.12959999999999999</v>
      </c>
      <c r="Q87" s="20">
        <v>0.216</v>
      </c>
      <c r="R87" s="20">
        <v>0.12959999999999999</v>
      </c>
      <c r="S87" s="20">
        <v>0.36</v>
      </c>
      <c r="T87" s="20">
        <v>0.36</v>
      </c>
      <c r="U87" s="20">
        <v>0.6</v>
      </c>
      <c r="V87" s="20">
        <v>1</v>
      </c>
      <c r="W87" s="20">
        <v>0.36</v>
      </c>
      <c r="X87" s="20">
        <v>0.6</v>
      </c>
      <c r="Y87" s="20">
        <v>0.6</v>
      </c>
      <c r="Z87" s="20">
        <v>0.36</v>
      </c>
      <c r="AA87" s="20">
        <v>0.36</v>
      </c>
      <c r="AB87" s="20">
        <v>0.36</v>
      </c>
      <c r="AC87" s="20">
        <v>0.216</v>
      </c>
      <c r="AD87" s="20">
        <v>0.216</v>
      </c>
      <c r="AE87" s="20">
        <v>0.216</v>
      </c>
      <c r="AF87" s="20">
        <v>0.6</v>
      </c>
      <c r="AG87" s="20">
        <v>0.36</v>
      </c>
      <c r="AH87" s="20">
        <v>0.216</v>
      </c>
      <c r="AI87" s="20">
        <v>0.12959999999999999</v>
      </c>
      <c r="AJ87" s="20">
        <v>0.216</v>
      </c>
      <c r="AK87" s="20">
        <v>0.6</v>
      </c>
      <c r="AL87" s="20">
        <v>0.36</v>
      </c>
      <c r="AM87" s="20">
        <v>0.216</v>
      </c>
      <c r="AN87" s="20">
        <v>0.12959999999999999</v>
      </c>
      <c r="AO87" s="20">
        <v>0.6</v>
      </c>
      <c r="AP87" s="20">
        <v>0.36</v>
      </c>
      <c r="AQ87" s="20">
        <v>0.216</v>
      </c>
      <c r="AR87" s="20">
        <v>0.12959999999999999</v>
      </c>
      <c r="AS87" s="20">
        <v>7.7759999999999996E-2</v>
      </c>
      <c r="AT87" s="20">
        <v>7.7759999999999996E-2</v>
      </c>
      <c r="AU87" s="20">
        <v>4.6655999999999996E-2</v>
      </c>
    </row>
    <row r="88" spans="6:47" ht="14.45" x14ac:dyDescent="0.3">
      <c r="F88" s="20">
        <v>7.7759999999999996E-2</v>
      </c>
      <c r="G88" s="20">
        <v>0.12959999999999999</v>
      </c>
      <c r="H88" s="20">
        <v>0.216</v>
      </c>
      <c r="I88" s="20">
        <v>7.7759999999999996E-2</v>
      </c>
      <c r="J88" s="20">
        <v>0.12959999999999999</v>
      </c>
      <c r="K88" s="20">
        <v>0.12959999999999999</v>
      </c>
      <c r="L88" s="20">
        <v>7.7759999999999996E-2</v>
      </c>
      <c r="M88" s="20">
        <v>7.7759999999999996E-2</v>
      </c>
      <c r="N88" s="20">
        <v>0.12959999999999999</v>
      </c>
      <c r="O88" s="20">
        <v>0.216</v>
      </c>
      <c r="P88" s="20">
        <v>0.216</v>
      </c>
      <c r="Q88" s="20">
        <v>0.36</v>
      </c>
      <c r="R88" s="20">
        <v>0.216</v>
      </c>
      <c r="S88" s="20">
        <v>0.36</v>
      </c>
      <c r="T88" s="20">
        <v>0.6</v>
      </c>
      <c r="U88" s="20">
        <v>0.36</v>
      </c>
      <c r="V88" s="20">
        <v>0.36</v>
      </c>
      <c r="W88" s="20">
        <v>1</v>
      </c>
      <c r="X88" s="20">
        <v>0.6</v>
      </c>
      <c r="Y88" s="20">
        <v>0.6</v>
      </c>
      <c r="Z88" s="20">
        <v>0.6</v>
      </c>
      <c r="AA88" s="20">
        <v>0.36</v>
      </c>
      <c r="AB88" s="20">
        <v>0.36</v>
      </c>
      <c r="AC88" s="20">
        <v>0.36</v>
      </c>
      <c r="AD88" s="20">
        <v>0.216</v>
      </c>
      <c r="AE88" s="20">
        <v>0.216</v>
      </c>
      <c r="AF88" s="20">
        <v>0.216</v>
      </c>
      <c r="AG88" s="20">
        <v>0.12959999999999999</v>
      </c>
      <c r="AH88" s="20">
        <v>7.7759999999999996E-2</v>
      </c>
      <c r="AI88" s="20">
        <v>4.6655999999999996E-2</v>
      </c>
      <c r="AJ88" s="20">
        <v>7.7759999999999996E-2</v>
      </c>
      <c r="AK88" s="20">
        <v>0.216</v>
      </c>
      <c r="AL88" s="20">
        <v>0.12959999999999999</v>
      </c>
      <c r="AM88" s="20">
        <v>7.7759999999999996E-2</v>
      </c>
      <c r="AN88" s="20">
        <v>4.6655999999999996E-2</v>
      </c>
      <c r="AO88" s="20">
        <v>0.36</v>
      </c>
      <c r="AP88" s="20">
        <v>0.216</v>
      </c>
      <c r="AQ88" s="20">
        <v>0.12959999999999999</v>
      </c>
      <c r="AR88" s="20">
        <v>7.7759999999999996E-2</v>
      </c>
      <c r="AS88" s="20">
        <v>4.6655999999999996E-2</v>
      </c>
      <c r="AT88" s="20">
        <v>4.6655999999999996E-2</v>
      </c>
      <c r="AU88" s="20">
        <v>2.7993599999999997E-2</v>
      </c>
    </row>
    <row r="89" spans="6:47" ht="14.45" x14ac:dyDescent="0.3">
      <c r="F89" s="20">
        <v>7.7759999999999996E-2</v>
      </c>
      <c r="G89" s="20">
        <v>0.12959999999999999</v>
      </c>
      <c r="H89" s="20">
        <v>0.216</v>
      </c>
      <c r="I89" s="20">
        <v>7.7759999999999996E-2</v>
      </c>
      <c r="J89" s="20">
        <v>0.12959999999999999</v>
      </c>
      <c r="K89" s="20">
        <v>0.12959999999999999</v>
      </c>
      <c r="L89" s="20">
        <v>7.7759999999999996E-2</v>
      </c>
      <c r="M89" s="20">
        <v>7.7759999999999996E-2</v>
      </c>
      <c r="N89" s="20">
        <v>7.7759999999999996E-2</v>
      </c>
      <c r="O89" s="20">
        <v>0.12959999999999999</v>
      </c>
      <c r="P89" s="20">
        <v>0.12959999999999999</v>
      </c>
      <c r="Q89" s="20">
        <v>0.216</v>
      </c>
      <c r="R89" s="20">
        <v>0.12959999999999999</v>
      </c>
      <c r="S89" s="20">
        <v>0.36</v>
      </c>
      <c r="T89" s="20">
        <v>0.6</v>
      </c>
      <c r="U89" s="20">
        <v>0.36</v>
      </c>
      <c r="V89" s="20">
        <v>0.6</v>
      </c>
      <c r="W89" s="20">
        <v>0.6</v>
      </c>
      <c r="X89" s="20">
        <v>1</v>
      </c>
      <c r="Y89" s="20">
        <v>0.6</v>
      </c>
      <c r="Z89" s="20">
        <v>0.36</v>
      </c>
      <c r="AA89" s="20">
        <v>0.36</v>
      </c>
      <c r="AB89" s="20">
        <v>0.216</v>
      </c>
      <c r="AC89" s="20">
        <v>0.216</v>
      </c>
      <c r="AD89" s="20">
        <v>0.12959999999999999</v>
      </c>
      <c r="AE89" s="20">
        <v>0.12959999999999999</v>
      </c>
      <c r="AF89" s="20">
        <v>0.36</v>
      </c>
      <c r="AG89" s="20">
        <v>0.216</v>
      </c>
      <c r="AH89" s="20">
        <v>0.12959999999999999</v>
      </c>
      <c r="AI89" s="20">
        <v>7.7759999999999996E-2</v>
      </c>
      <c r="AJ89" s="20">
        <v>0.12959999999999999</v>
      </c>
      <c r="AK89" s="20">
        <v>0.36</v>
      </c>
      <c r="AL89" s="20">
        <v>0.216</v>
      </c>
      <c r="AM89" s="20">
        <v>0.12959999999999999</v>
      </c>
      <c r="AN89" s="20">
        <v>7.7759999999999996E-2</v>
      </c>
      <c r="AO89" s="20">
        <v>0.36</v>
      </c>
      <c r="AP89" s="20">
        <v>0.216</v>
      </c>
      <c r="AQ89" s="20">
        <v>0.12959999999999999</v>
      </c>
      <c r="AR89" s="20">
        <v>7.7759999999999996E-2</v>
      </c>
      <c r="AS89" s="20">
        <v>4.6655999999999996E-2</v>
      </c>
      <c r="AT89" s="20">
        <v>4.6655999999999996E-2</v>
      </c>
      <c r="AU89" s="20">
        <v>2.7993599999999997E-2</v>
      </c>
    </row>
    <row r="90" spans="6:47" ht="14.45" x14ac:dyDescent="0.3">
      <c r="F90" s="20">
        <v>4.6655999999999996E-2</v>
      </c>
      <c r="G90" s="20">
        <v>7.7759999999999996E-2</v>
      </c>
      <c r="H90" s="20">
        <v>0.12959999999999999</v>
      </c>
      <c r="I90" s="20">
        <v>4.6655999999999996E-2</v>
      </c>
      <c r="J90" s="20">
        <v>7.7759999999999996E-2</v>
      </c>
      <c r="K90" s="20">
        <v>7.7759999999999996E-2</v>
      </c>
      <c r="L90" s="20">
        <v>7.7759999999999996E-2</v>
      </c>
      <c r="M90" s="20">
        <v>7.7759999999999996E-2</v>
      </c>
      <c r="N90" s="20">
        <v>0.12959999999999999</v>
      </c>
      <c r="O90" s="20">
        <v>0.216</v>
      </c>
      <c r="P90" s="20">
        <v>0.216</v>
      </c>
      <c r="Q90" s="20">
        <v>0.36</v>
      </c>
      <c r="R90" s="20">
        <v>0.216</v>
      </c>
      <c r="S90" s="20">
        <v>0.216</v>
      </c>
      <c r="T90" s="20">
        <v>0.36</v>
      </c>
      <c r="U90" s="20">
        <v>0.36</v>
      </c>
      <c r="V90" s="20">
        <v>0.6</v>
      </c>
      <c r="W90" s="20">
        <v>0.6</v>
      </c>
      <c r="X90" s="20">
        <v>0.6</v>
      </c>
      <c r="Y90" s="20">
        <v>1</v>
      </c>
      <c r="Z90" s="20">
        <v>0.6</v>
      </c>
      <c r="AA90" s="20">
        <v>0.6</v>
      </c>
      <c r="AB90" s="20">
        <v>0.36</v>
      </c>
      <c r="AC90" s="20">
        <v>0.36</v>
      </c>
      <c r="AD90" s="20">
        <v>0.216</v>
      </c>
      <c r="AE90" s="20">
        <v>0.216</v>
      </c>
      <c r="AF90" s="20">
        <v>0.36</v>
      </c>
      <c r="AG90" s="20">
        <v>0.216</v>
      </c>
      <c r="AH90" s="20">
        <v>0.12959999999999999</v>
      </c>
      <c r="AI90" s="20">
        <v>7.7759999999999996E-2</v>
      </c>
      <c r="AJ90" s="20">
        <v>0.12959999999999999</v>
      </c>
      <c r="AK90" s="20">
        <v>0.36</v>
      </c>
      <c r="AL90" s="20">
        <v>0.216</v>
      </c>
      <c r="AM90" s="20">
        <v>0.12959999999999999</v>
      </c>
      <c r="AN90" s="20">
        <v>7.7759999999999996E-2</v>
      </c>
      <c r="AO90" s="20">
        <v>0.6</v>
      </c>
      <c r="AP90" s="20">
        <v>0.36</v>
      </c>
      <c r="AQ90" s="20">
        <v>0.216</v>
      </c>
      <c r="AR90" s="20">
        <v>0.12959999999999999</v>
      </c>
      <c r="AS90" s="20">
        <v>7.7759999999999996E-2</v>
      </c>
      <c r="AT90" s="20">
        <v>7.7759999999999996E-2</v>
      </c>
      <c r="AU90" s="20">
        <v>4.6655999999999996E-2</v>
      </c>
    </row>
    <row r="91" spans="6:47" ht="14.45" x14ac:dyDescent="0.3">
      <c r="F91" s="20">
        <v>4.6655999999999996E-2</v>
      </c>
      <c r="G91" s="20">
        <v>7.7759999999999996E-2</v>
      </c>
      <c r="H91" s="20">
        <v>0.12959999999999999</v>
      </c>
      <c r="I91" s="20">
        <v>7.7759999999999996E-2</v>
      </c>
      <c r="J91" s="20">
        <v>7.7759999999999996E-2</v>
      </c>
      <c r="K91" s="20">
        <v>7.7759999999999996E-2</v>
      </c>
      <c r="L91" s="20">
        <v>0.12959999999999999</v>
      </c>
      <c r="M91" s="20">
        <v>0.12959999999999999</v>
      </c>
      <c r="N91" s="20">
        <v>0.216</v>
      </c>
      <c r="O91" s="20">
        <v>0.36</v>
      </c>
      <c r="P91" s="20">
        <v>0.36</v>
      </c>
      <c r="Q91" s="20">
        <v>0.6</v>
      </c>
      <c r="R91" s="20">
        <v>0.36</v>
      </c>
      <c r="S91" s="20">
        <v>0.216</v>
      </c>
      <c r="T91" s="20">
        <v>0.36</v>
      </c>
      <c r="U91" s="20">
        <v>0.216</v>
      </c>
      <c r="V91" s="20">
        <v>0.36</v>
      </c>
      <c r="W91" s="20">
        <v>0.6</v>
      </c>
      <c r="X91" s="20">
        <v>0.36</v>
      </c>
      <c r="Y91" s="20">
        <v>0.6</v>
      </c>
      <c r="Z91" s="20">
        <v>1</v>
      </c>
      <c r="AA91" s="20">
        <v>0.6</v>
      </c>
      <c r="AB91" s="20">
        <v>0.6</v>
      </c>
      <c r="AC91" s="20">
        <v>0.6</v>
      </c>
      <c r="AD91" s="20">
        <v>0.36</v>
      </c>
      <c r="AE91" s="20">
        <v>0.36</v>
      </c>
      <c r="AF91" s="20">
        <v>0.216</v>
      </c>
      <c r="AG91" s="20">
        <v>0.12959999999999999</v>
      </c>
      <c r="AH91" s="20">
        <v>7.7759999999999996E-2</v>
      </c>
      <c r="AI91" s="20">
        <v>4.6655999999999996E-2</v>
      </c>
      <c r="AJ91" s="20">
        <v>7.7759999999999996E-2</v>
      </c>
      <c r="AK91" s="20">
        <v>0.216</v>
      </c>
      <c r="AL91" s="20">
        <v>0.12959999999999999</v>
      </c>
      <c r="AM91" s="20">
        <v>7.7759999999999996E-2</v>
      </c>
      <c r="AN91" s="20">
        <v>4.6655999999999996E-2</v>
      </c>
      <c r="AO91" s="20">
        <v>0.36</v>
      </c>
      <c r="AP91" s="20">
        <v>0.216</v>
      </c>
      <c r="AQ91" s="20">
        <v>0.12959999999999999</v>
      </c>
      <c r="AR91" s="20">
        <v>7.7759999999999996E-2</v>
      </c>
      <c r="AS91" s="20">
        <v>4.6655999999999996E-2</v>
      </c>
      <c r="AT91" s="20">
        <v>4.6655999999999996E-2</v>
      </c>
      <c r="AU91" s="20">
        <v>2.7993599999999997E-2</v>
      </c>
    </row>
    <row r="92" spans="6:47" ht="14.45" x14ac:dyDescent="0.3">
      <c r="F92" s="20">
        <v>4.6655999999999996E-2</v>
      </c>
      <c r="G92" s="20">
        <v>4.6655999999999996E-2</v>
      </c>
      <c r="H92" s="20">
        <v>7.7759999999999996E-2</v>
      </c>
      <c r="I92" s="20">
        <v>4.6655999999999996E-2</v>
      </c>
      <c r="J92" s="20">
        <v>4.6655999999999996E-2</v>
      </c>
      <c r="K92" s="20">
        <v>4.6655999999999996E-2</v>
      </c>
      <c r="L92" s="20">
        <v>7.7759999999999996E-2</v>
      </c>
      <c r="M92" s="20">
        <v>7.7759999999999996E-2</v>
      </c>
      <c r="N92" s="20">
        <v>0.12959999999999999</v>
      </c>
      <c r="O92" s="20">
        <v>0.216</v>
      </c>
      <c r="P92" s="20">
        <v>0.216</v>
      </c>
      <c r="Q92" s="20">
        <v>0.36</v>
      </c>
      <c r="R92" s="20">
        <v>0.216</v>
      </c>
      <c r="S92" s="20">
        <v>0.12959999999999999</v>
      </c>
      <c r="T92" s="20">
        <v>0.216</v>
      </c>
      <c r="U92" s="20">
        <v>0.216</v>
      </c>
      <c r="V92" s="20">
        <v>0.36</v>
      </c>
      <c r="W92" s="20">
        <v>0.36</v>
      </c>
      <c r="X92" s="20">
        <v>0.36</v>
      </c>
      <c r="Y92" s="20">
        <v>0.6</v>
      </c>
      <c r="Z92" s="20">
        <v>0.6</v>
      </c>
      <c r="AA92" s="20">
        <v>1</v>
      </c>
      <c r="AB92" s="20">
        <v>0.6</v>
      </c>
      <c r="AC92" s="20">
        <v>0.36</v>
      </c>
      <c r="AD92" s="20">
        <v>0.36</v>
      </c>
      <c r="AE92" s="20">
        <v>0.36</v>
      </c>
      <c r="AF92" s="20">
        <v>0.216</v>
      </c>
      <c r="AG92" s="20">
        <v>0.12959999999999999</v>
      </c>
      <c r="AH92" s="20">
        <v>7.7759999999999996E-2</v>
      </c>
      <c r="AI92" s="20">
        <v>7.7759999999999996E-2</v>
      </c>
      <c r="AJ92" s="20">
        <v>7.7759999999999996E-2</v>
      </c>
      <c r="AK92" s="20">
        <v>0.36</v>
      </c>
      <c r="AL92" s="20">
        <v>0.216</v>
      </c>
      <c r="AM92" s="20">
        <v>0.12959999999999999</v>
      </c>
      <c r="AN92" s="20">
        <v>7.7759999999999996E-2</v>
      </c>
      <c r="AO92" s="20">
        <v>0.6</v>
      </c>
      <c r="AP92" s="20">
        <v>0.36</v>
      </c>
      <c r="AQ92" s="20">
        <v>0.216</v>
      </c>
      <c r="AR92" s="20">
        <v>0.12959999999999999</v>
      </c>
      <c r="AS92" s="20">
        <v>7.7759999999999996E-2</v>
      </c>
      <c r="AT92" s="20">
        <v>7.7759999999999996E-2</v>
      </c>
      <c r="AU92" s="20">
        <v>4.6655999999999996E-2</v>
      </c>
    </row>
    <row r="93" spans="6:47" ht="14.45" x14ac:dyDescent="0.3">
      <c r="F93" s="20">
        <v>4.6655999999999996E-2</v>
      </c>
      <c r="G93" s="20">
        <v>4.6655999999999996E-2</v>
      </c>
      <c r="H93" s="20">
        <v>7.7759999999999996E-2</v>
      </c>
      <c r="I93" s="20">
        <v>4.6655999999999996E-2</v>
      </c>
      <c r="J93" s="20">
        <v>4.6655999999999996E-2</v>
      </c>
      <c r="K93" s="20">
        <v>4.6655999999999996E-2</v>
      </c>
      <c r="L93" s="20">
        <v>7.7759999999999996E-2</v>
      </c>
      <c r="M93" s="20">
        <v>7.7759999999999996E-2</v>
      </c>
      <c r="N93" s="20">
        <v>0.12959999999999999</v>
      </c>
      <c r="O93" s="20">
        <v>0.216</v>
      </c>
      <c r="P93" s="20">
        <v>0.216</v>
      </c>
      <c r="Q93" s="20">
        <v>0.36</v>
      </c>
      <c r="R93" s="20">
        <v>0.216</v>
      </c>
      <c r="S93" s="20">
        <v>0.12959999999999999</v>
      </c>
      <c r="T93" s="20">
        <v>0.216</v>
      </c>
      <c r="U93" s="20">
        <v>0.216</v>
      </c>
      <c r="V93" s="20">
        <v>0.36</v>
      </c>
      <c r="W93" s="20">
        <v>0.36</v>
      </c>
      <c r="X93" s="20">
        <v>0.216</v>
      </c>
      <c r="Y93" s="20">
        <v>0.36</v>
      </c>
      <c r="Z93" s="20">
        <v>0.6</v>
      </c>
      <c r="AA93" s="20">
        <v>0.6</v>
      </c>
      <c r="AB93" s="20">
        <v>1</v>
      </c>
      <c r="AC93" s="20">
        <v>0.6</v>
      </c>
      <c r="AD93" s="20">
        <v>0.6</v>
      </c>
      <c r="AE93" s="20">
        <v>0.6</v>
      </c>
      <c r="AF93" s="20">
        <v>0.216</v>
      </c>
      <c r="AG93" s="20">
        <v>0.12959999999999999</v>
      </c>
      <c r="AH93" s="20">
        <v>7.7759999999999996E-2</v>
      </c>
      <c r="AI93" s="20">
        <v>7.7759999999999996E-2</v>
      </c>
      <c r="AJ93" s="20">
        <v>7.7759999999999996E-2</v>
      </c>
      <c r="AK93" s="20">
        <v>0.36</v>
      </c>
      <c r="AL93" s="20">
        <v>0.216</v>
      </c>
      <c r="AM93" s="20">
        <v>0.12959999999999999</v>
      </c>
      <c r="AN93" s="20">
        <v>7.7759999999999996E-2</v>
      </c>
      <c r="AO93" s="20">
        <v>0.6</v>
      </c>
      <c r="AP93" s="20">
        <v>0.36</v>
      </c>
      <c r="AQ93" s="20">
        <v>0.216</v>
      </c>
      <c r="AR93" s="20">
        <v>0.12959999999999999</v>
      </c>
      <c r="AS93" s="20">
        <v>7.7759999999999996E-2</v>
      </c>
      <c r="AT93" s="20">
        <v>7.7759999999999996E-2</v>
      </c>
      <c r="AU93" s="20">
        <v>4.6655999999999996E-2</v>
      </c>
    </row>
    <row r="94" spans="6:47" ht="14.45" x14ac:dyDescent="0.3">
      <c r="F94" s="20">
        <v>2.7993599999999997E-2</v>
      </c>
      <c r="G94" s="20">
        <v>4.6655999999999996E-2</v>
      </c>
      <c r="H94" s="20">
        <v>7.7759999999999996E-2</v>
      </c>
      <c r="I94" s="20">
        <v>4.6655999999999996E-2</v>
      </c>
      <c r="J94" s="20">
        <v>4.6655999999999996E-2</v>
      </c>
      <c r="K94" s="20">
        <v>4.6655999999999996E-2</v>
      </c>
      <c r="L94" s="20">
        <v>7.7759999999999996E-2</v>
      </c>
      <c r="M94" s="20">
        <v>7.7759999999999996E-2</v>
      </c>
      <c r="N94" s="20">
        <v>0.12959999999999999</v>
      </c>
      <c r="O94" s="20">
        <v>0.216</v>
      </c>
      <c r="P94" s="20">
        <v>0.216</v>
      </c>
      <c r="Q94" s="20">
        <v>0.36</v>
      </c>
      <c r="R94" s="20">
        <v>0.216</v>
      </c>
      <c r="S94" s="20">
        <v>0.12959999999999999</v>
      </c>
      <c r="T94" s="20">
        <v>0.216</v>
      </c>
      <c r="U94" s="20">
        <v>0.12959999999999999</v>
      </c>
      <c r="V94" s="20">
        <v>0.216</v>
      </c>
      <c r="W94" s="20">
        <v>0.36</v>
      </c>
      <c r="X94" s="20">
        <v>0.216</v>
      </c>
      <c r="Y94" s="20">
        <v>0.36</v>
      </c>
      <c r="Z94" s="20">
        <v>0.6</v>
      </c>
      <c r="AA94" s="20">
        <v>0.36</v>
      </c>
      <c r="AB94" s="20">
        <v>0.6</v>
      </c>
      <c r="AC94" s="20">
        <v>1</v>
      </c>
      <c r="AD94" s="20">
        <v>0.6</v>
      </c>
      <c r="AE94" s="20">
        <v>0.36</v>
      </c>
      <c r="AF94" s="20">
        <v>0.12959999999999999</v>
      </c>
      <c r="AG94" s="20">
        <v>7.7759999999999996E-2</v>
      </c>
      <c r="AH94" s="20">
        <v>4.6655999999999996E-2</v>
      </c>
      <c r="AI94" s="20">
        <v>4.6655999999999996E-2</v>
      </c>
      <c r="AJ94" s="20">
        <v>4.6655999999999996E-2</v>
      </c>
      <c r="AK94" s="20">
        <v>0.216</v>
      </c>
      <c r="AL94" s="20">
        <v>0.12959999999999999</v>
      </c>
      <c r="AM94" s="20">
        <v>7.7759999999999996E-2</v>
      </c>
      <c r="AN94" s="20">
        <v>4.6655999999999996E-2</v>
      </c>
      <c r="AO94" s="20">
        <v>0.36</v>
      </c>
      <c r="AP94" s="20">
        <v>0.216</v>
      </c>
      <c r="AQ94" s="20">
        <v>0.12959999999999999</v>
      </c>
      <c r="AR94" s="20">
        <v>7.7759999999999996E-2</v>
      </c>
      <c r="AS94" s="20">
        <v>4.6655999999999996E-2</v>
      </c>
      <c r="AT94" s="20">
        <v>4.6655999999999996E-2</v>
      </c>
      <c r="AU94" s="20">
        <v>2.7993599999999997E-2</v>
      </c>
    </row>
    <row r="95" spans="6:47" ht="14.45" x14ac:dyDescent="0.3">
      <c r="F95" s="20">
        <v>2.7993599999999997E-2</v>
      </c>
      <c r="G95" s="20">
        <v>2.7993599999999997E-2</v>
      </c>
      <c r="H95" s="20">
        <v>4.6655999999999996E-2</v>
      </c>
      <c r="I95" s="20">
        <v>2.7993599999999997E-2</v>
      </c>
      <c r="J95" s="20">
        <v>2.7993599999999997E-2</v>
      </c>
      <c r="K95" s="20">
        <v>2.7993599999999997E-2</v>
      </c>
      <c r="L95" s="20">
        <v>4.6655999999999996E-2</v>
      </c>
      <c r="M95" s="20">
        <v>4.6655999999999996E-2</v>
      </c>
      <c r="N95" s="20">
        <v>7.7759999999999996E-2</v>
      </c>
      <c r="O95" s="20">
        <v>0.12959999999999999</v>
      </c>
      <c r="P95" s="20">
        <v>0.12959999999999999</v>
      </c>
      <c r="Q95" s="20">
        <v>0.216</v>
      </c>
      <c r="R95" s="20">
        <v>0.12959999999999999</v>
      </c>
      <c r="S95" s="20">
        <v>7.7759999999999996E-2</v>
      </c>
      <c r="T95" s="20">
        <v>0.12959999999999999</v>
      </c>
      <c r="U95" s="20">
        <v>0.12959999999999999</v>
      </c>
      <c r="V95" s="20">
        <v>0.216</v>
      </c>
      <c r="W95" s="20">
        <v>0.216</v>
      </c>
      <c r="X95" s="20">
        <v>0.12959999999999999</v>
      </c>
      <c r="Y95" s="20">
        <v>0.216</v>
      </c>
      <c r="Z95" s="20">
        <v>0.36</v>
      </c>
      <c r="AA95" s="20">
        <v>0.36</v>
      </c>
      <c r="AB95" s="20">
        <v>0.6</v>
      </c>
      <c r="AC95" s="20">
        <v>0.6</v>
      </c>
      <c r="AD95" s="20">
        <v>1</v>
      </c>
      <c r="AE95" s="20">
        <v>0.6</v>
      </c>
      <c r="AF95" s="20">
        <v>0.12959999999999999</v>
      </c>
      <c r="AG95" s="20">
        <v>7.7759999999999996E-2</v>
      </c>
      <c r="AH95" s="20">
        <v>4.6655999999999996E-2</v>
      </c>
      <c r="AI95" s="20">
        <v>4.6655999999999996E-2</v>
      </c>
      <c r="AJ95" s="20">
        <v>4.6655999999999996E-2</v>
      </c>
      <c r="AK95" s="20">
        <v>0.216</v>
      </c>
      <c r="AL95" s="20">
        <v>0.12959999999999999</v>
      </c>
      <c r="AM95" s="20">
        <v>7.7759999999999996E-2</v>
      </c>
      <c r="AN95" s="20">
        <v>4.6655999999999996E-2</v>
      </c>
      <c r="AO95" s="20">
        <v>0.36</v>
      </c>
      <c r="AP95" s="20">
        <v>0.216</v>
      </c>
      <c r="AQ95" s="20">
        <v>0.12959999999999999</v>
      </c>
      <c r="AR95" s="20">
        <v>7.7759999999999996E-2</v>
      </c>
      <c r="AS95" s="20">
        <v>4.6655999999999996E-2</v>
      </c>
      <c r="AT95" s="20">
        <v>4.6655999999999996E-2</v>
      </c>
      <c r="AU95" s="20">
        <v>2.7993599999999997E-2</v>
      </c>
    </row>
    <row r="96" spans="6:47" ht="14.45" x14ac:dyDescent="0.3">
      <c r="F96" s="20">
        <v>2.7993599999999997E-2</v>
      </c>
      <c r="G96" s="20">
        <v>2.7993599999999997E-2</v>
      </c>
      <c r="H96" s="20">
        <v>4.6655999999999996E-2</v>
      </c>
      <c r="I96" s="20">
        <v>2.7993599999999997E-2</v>
      </c>
      <c r="J96" s="20">
        <v>2.7993599999999997E-2</v>
      </c>
      <c r="K96" s="20">
        <v>2.7993599999999997E-2</v>
      </c>
      <c r="L96" s="20">
        <v>4.6655999999999996E-2</v>
      </c>
      <c r="M96" s="20">
        <v>4.6655999999999996E-2</v>
      </c>
      <c r="N96" s="20">
        <v>7.7759999999999996E-2</v>
      </c>
      <c r="O96" s="20">
        <v>0.12959999999999999</v>
      </c>
      <c r="P96" s="20">
        <v>0.12959999999999999</v>
      </c>
      <c r="Q96" s="20">
        <v>0.216</v>
      </c>
      <c r="R96" s="20">
        <v>0.12959999999999999</v>
      </c>
      <c r="S96" s="20">
        <v>7.7759999999999996E-2</v>
      </c>
      <c r="T96" s="20">
        <v>0.12959999999999999</v>
      </c>
      <c r="U96" s="20">
        <v>0.12959999999999999</v>
      </c>
      <c r="V96" s="20">
        <v>0.216</v>
      </c>
      <c r="W96" s="20">
        <v>0.216</v>
      </c>
      <c r="X96" s="20">
        <v>0.12959999999999999</v>
      </c>
      <c r="Y96" s="20">
        <v>0.216</v>
      </c>
      <c r="Z96" s="20">
        <v>0.36</v>
      </c>
      <c r="AA96" s="20">
        <v>0.36</v>
      </c>
      <c r="AB96" s="20">
        <v>0.6</v>
      </c>
      <c r="AC96" s="20">
        <v>0.36</v>
      </c>
      <c r="AD96" s="20">
        <v>0.6</v>
      </c>
      <c r="AE96" s="20">
        <v>1</v>
      </c>
      <c r="AF96" s="20">
        <v>0.12959999999999999</v>
      </c>
      <c r="AG96" s="20">
        <v>7.7759999999999996E-2</v>
      </c>
      <c r="AH96" s="20">
        <v>4.6655999999999996E-2</v>
      </c>
      <c r="AI96" s="20">
        <v>4.6655999999999996E-2</v>
      </c>
      <c r="AJ96" s="20">
        <v>4.6655999999999996E-2</v>
      </c>
      <c r="AK96" s="20">
        <v>0.216</v>
      </c>
      <c r="AL96" s="20">
        <v>0.12959999999999999</v>
      </c>
      <c r="AM96" s="20">
        <v>7.7759999999999996E-2</v>
      </c>
      <c r="AN96" s="20">
        <v>4.6655999999999996E-2</v>
      </c>
      <c r="AO96" s="20">
        <v>0.36</v>
      </c>
      <c r="AP96" s="20">
        <v>0.216</v>
      </c>
      <c r="AQ96" s="20">
        <v>0.12959999999999999</v>
      </c>
      <c r="AR96" s="20">
        <v>7.7759999999999996E-2</v>
      </c>
      <c r="AS96" s="20">
        <v>4.6655999999999996E-2</v>
      </c>
      <c r="AT96" s="20">
        <v>4.6655999999999996E-2</v>
      </c>
      <c r="AU96" s="20">
        <v>2.7993599999999997E-2</v>
      </c>
    </row>
    <row r="97" spans="1:47" ht="14.45" x14ac:dyDescent="0.3">
      <c r="F97" s="20">
        <v>0.12959999999999999</v>
      </c>
      <c r="G97" s="20">
        <v>7.7759999999999996E-2</v>
      </c>
      <c r="H97" s="20">
        <v>0.12959999999999999</v>
      </c>
      <c r="I97" s="20">
        <v>7.7759999999999996E-2</v>
      </c>
      <c r="J97" s="20">
        <v>7.7759999999999996E-2</v>
      </c>
      <c r="K97" s="20">
        <v>7.7759999999999996E-2</v>
      </c>
      <c r="L97" s="20">
        <v>4.6655999999999996E-2</v>
      </c>
      <c r="M97" s="20">
        <v>4.6655999999999996E-2</v>
      </c>
      <c r="N97" s="20">
        <v>4.6655999999999996E-2</v>
      </c>
      <c r="O97" s="20">
        <v>7.7759999999999996E-2</v>
      </c>
      <c r="P97" s="20">
        <v>7.7759999999999996E-2</v>
      </c>
      <c r="Q97" s="20">
        <v>0.12959999999999999</v>
      </c>
      <c r="R97" s="20">
        <v>7.7759999999999996E-2</v>
      </c>
      <c r="S97" s="20">
        <v>0.216</v>
      </c>
      <c r="T97" s="20">
        <v>0.216</v>
      </c>
      <c r="U97" s="20">
        <v>0.36</v>
      </c>
      <c r="V97" s="20">
        <v>0.6</v>
      </c>
      <c r="W97" s="20">
        <v>0.216</v>
      </c>
      <c r="X97" s="20">
        <v>0.36</v>
      </c>
      <c r="Y97" s="20">
        <v>0.36</v>
      </c>
      <c r="Z97" s="20">
        <v>0.216</v>
      </c>
      <c r="AA97" s="20">
        <v>0.216</v>
      </c>
      <c r="AB97" s="20">
        <v>0.216</v>
      </c>
      <c r="AC97" s="20">
        <v>0.12959999999999999</v>
      </c>
      <c r="AD97" s="20">
        <v>0.12959999999999999</v>
      </c>
      <c r="AE97" s="20">
        <v>0.12959999999999999</v>
      </c>
      <c r="AF97" s="20">
        <v>1</v>
      </c>
      <c r="AG97" s="20">
        <v>0.6</v>
      </c>
      <c r="AH97" s="20">
        <v>0.36</v>
      </c>
      <c r="AI97" s="20">
        <v>0.216</v>
      </c>
      <c r="AJ97" s="20">
        <v>0.36</v>
      </c>
      <c r="AK97" s="20">
        <v>0.6</v>
      </c>
      <c r="AL97" s="20">
        <v>0.6</v>
      </c>
      <c r="AM97" s="20">
        <v>0.36</v>
      </c>
      <c r="AN97" s="20">
        <v>0.216</v>
      </c>
      <c r="AO97" s="20">
        <v>0.36</v>
      </c>
      <c r="AP97" s="20">
        <v>0.36</v>
      </c>
      <c r="AQ97" s="20">
        <v>0.36</v>
      </c>
      <c r="AR97" s="20">
        <v>0.216</v>
      </c>
      <c r="AS97" s="20">
        <v>0.12959999999999999</v>
      </c>
      <c r="AT97" s="20">
        <v>0.12959999999999999</v>
      </c>
      <c r="AU97" s="20">
        <v>7.7759999999999996E-2</v>
      </c>
    </row>
    <row r="98" spans="1:47" ht="14.45" x14ac:dyDescent="0.3">
      <c r="A98" t="s">
        <v>9</v>
      </c>
      <c r="F98" s="20">
        <v>0.216</v>
      </c>
      <c r="G98" s="20">
        <v>0.12959999999999999</v>
      </c>
      <c r="H98" s="20">
        <v>7.7759999999999996E-2</v>
      </c>
      <c r="I98" s="20">
        <v>0.12959999999999999</v>
      </c>
      <c r="J98" s="20">
        <v>7.7759999999999996E-2</v>
      </c>
      <c r="K98" s="20">
        <v>4.6655999999999996E-2</v>
      </c>
      <c r="L98" s="20">
        <v>7.7759999999999996E-2</v>
      </c>
      <c r="M98" s="20">
        <v>4.6655999999999996E-2</v>
      </c>
      <c r="N98" s="20">
        <v>4.6655999999999996E-2</v>
      </c>
      <c r="O98" s="20">
        <v>4.6655999999999996E-2</v>
      </c>
      <c r="P98" s="20">
        <v>4.6655999999999996E-2</v>
      </c>
      <c r="Q98" s="20">
        <v>7.7759999999999996E-2</v>
      </c>
      <c r="R98" s="20">
        <v>4.6655999999999996E-2</v>
      </c>
      <c r="S98" s="20">
        <v>0.12959999999999999</v>
      </c>
      <c r="T98" s="20">
        <v>0.12959999999999999</v>
      </c>
      <c r="U98" s="20">
        <v>0.216</v>
      </c>
      <c r="V98" s="20">
        <v>0.36</v>
      </c>
      <c r="W98" s="20">
        <v>0.12959999999999999</v>
      </c>
      <c r="X98" s="20">
        <v>0.216</v>
      </c>
      <c r="Y98" s="20">
        <v>0.216</v>
      </c>
      <c r="Z98" s="20">
        <v>0.12959999999999999</v>
      </c>
      <c r="AA98" s="20">
        <v>0.12959999999999999</v>
      </c>
      <c r="AB98" s="20">
        <v>0.12959999999999999</v>
      </c>
      <c r="AC98" s="20">
        <v>7.7759999999999996E-2</v>
      </c>
      <c r="AD98" s="20">
        <v>7.7759999999999996E-2</v>
      </c>
      <c r="AE98" s="20">
        <v>7.7759999999999996E-2</v>
      </c>
      <c r="AF98" s="20">
        <v>0.6</v>
      </c>
      <c r="AG98" s="20">
        <v>1</v>
      </c>
      <c r="AH98" s="20">
        <v>0.6</v>
      </c>
      <c r="AI98" s="20">
        <v>0.36</v>
      </c>
      <c r="AJ98" s="20">
        <v>0.6</v>
      </c>
      <c r="AK98" s="20">
        <v>0.36</v>
      </c>
      <c r="AL98" s="20">
        <v>0.6</v>
      </c>
      <c r="AM98" s="20">
        <v>0.6</v>
      </c>
      <c r="AN98" s="20">
        <v>0.36</v>
      </c>
      <c r="AO98" s="20">
        <v>0.216</v>
      </c>
      <c r="AP98" s="20">
        <v>0.36</v>
      </c>
      <c r="AQ98" s="20">
        <v>0.36</v>
      </c>
      <c r="AR98" s="20">
        <v>0.216</v>
      </c>
      <c r="AS98" s="20">
        <v>0.12959999999999999</v>
      </c>
      <c r="AT98" s="20">
        <v>0.12959999999999999</v>
      </c>
      <c r="AU98" s="20">
        <v>7.7759999999999996E-2</v>
      </c>
    </row>
    <row r="99" spans="1:47" ht="14.45" x14ac:dyDescent="0.3">
      <c r="A99" t="s">
        <v>10</v>
      </c>
      <c r="F99" s="20">
        <v>0.36</v>
      </c>
      <c r="G99" s="20">
        <v>0.216</v>
      </c>
      <c r="H99" s="20">
        <v>0.12959999999999999</v>
      </c>
      <c r="I99" s="20">
        <v>0.216</v>
      </c>
      <c r="J99" s="20">
        <v>0.12959999999999999</v>
      </c>
      <c r="K99" s="20">
        <v>7.7759999999999996E-2</v>
      </c>
      <c r="L99" s="20">
        <v>0.12959999999999999</v>
      </c>
      <c r="M99" s="20">
        <v>7.7759999999999996E-2</v>
      </c>
      <c r="N99" s="20">
        <v>7.7759999999999996E-2</v>
      </c>
      <c r="O99" s="20">
        <v>4.6655999999999996E-2</v>
      </c>
      <c r="P99" s="20">
        <v>2.7993599999999997E-2</v>
      </c>
      <c r="Q99" s="20">
        <v>4.6655999999999996E-2</v>
      </c>
      <c r="R99" s="20">
        <v>2.7993599999999997E-2</v>
      </c>
      <c r="S99" s="20">
        <v>7.7759999999999996E-2</v>
      </c>
      <c r="T99" s="20">
        <v>7.7759999999999996E-2</v>
      </c>
      <c r="U99" s="20">
        <v>0.12959999999999999</v>
      </c>
      <c r="V99" s="20">
        <v>0.216</v>
      </c>
      <c r="W99" s="20">
        <v>7.7759999999999996E-2</v>
      </c>
      <c r="X99" s="20">
        <v>0.12959999999999999</v>
      </c>
      <c r="Y99" s="20">
        <v>0.12959999999999999</v>
      </c>
      <c r="Z99" s="20">
        <v>7.7759999999999996E-2</v>
      </c>
      <c r="AA99" s="20">
        <v>7.7759999999999996E-2</v>
      </c>
      <c r="AB99" s="20">
        <v>7.7759999999999996E-2</v>
      </c>
      <c r="AC99" s="20">
        <v>4.6655999999999996E-2</v>
      </c>
      <c r="AD99" s="20">
        <v>4.6655999999999996E-2</v>
      </c>
      <c r="AE99" s="20">
        <v>4.6655999999999996E-2</v>
      </c>
      <c r="AF99" s="20">
        <v>0.36</v>
      </c>
      <c r="AG99" s="20">
        <v>0.6</v>
      </c>
      <c r="AH99" s="20">
        <v>1</v>
      </c>
      <c r="AI99" s="20">
        <v>0.6</v>
      </c>
      <c r="AJ99" s="20">
        <v>0.6</v>
      </c>
      <c r="AK99" s="20">
        <v>0.216</v>
      </c>
      <c r="AL99" s="20">
        <v>0.36</v>
      </c>
      <c r="AM99" s="20">
        <v>0.36</v>
      </c>
      <c r="AN99" s="20">
        <v>0.36</v>
      </c>
      <c r="AO99" s="20">
        <v>0.12959999999999999</v>
      </c>
      <c r="AP99" s="20">
        <v>0.216</v>
      </c>
      <c r="AQ99" s="20">
        <v>0.216</v>
      </c>
      <c r="AR99" s="20">
        <v>0.12959999999999999</v>
      </c>
      <c r="AS99" s="20">
        <v>7.7759999999999996E-2</v>
      </c>
      <c r="AT99" s="20">
        <v>7.7759999999999996E-2</v>
      </c>
      <c r="AU99" s="20">
        <v>4.6655999999999996E-2</v>
      </c>
    </row>
    <row r="100" spans="1:47" ht="14.45" x14ac:dyDescent="0.3">
      <c r="A100" t="s">
        <v>11</v>
      </c>
      <c r="F100" s="20">
        <v>0.6</v>
      </c>
      <c r="G100" s="20">
        <v>0.36</v>
      </c>
      <c r="H100" s="20">
        <v>0.216</v>
      </c>
      <c r="I100" s="20">
        <v>0.36</v>
      </c>
      <c r="J100" s="20">
        <v>0.216</v>
      </c>
      <c r="K100" s="20">
        <v>0.12959999999999999</v>
      </c>
      <c r="L100" s="20">
        <v>0.216</v>
      </c>
      <c r="M100" s="20">
        <v>0.12959999999999999</v>
      </c>
      <c r="N100" s="20">
        <v>0.12959999999999999</v>
      </c>
      <c r="O100" s="20">
        <v>7.7759999999999996E-2</v>
      </c>
      <c r="P100" s="20">
        <v>4.6655999999999996E-2</v>
      </c>
      <c r="Q100" s="20">
        <v>4.6655999999999996E-2</v>
      </c>
      <c r="R100" s="20">
        <v>2.7993599999999997E-2</v>
      </c>
      <c r="S100" s="20">
        <v>0.12959999999999999</v>
      </c>
      <c r="T100" s="20">
        <v>7.7759999999999996E-2</v>
      </c>
      <c r="U100" s="20">
        <v>7.7759999999999996E-2</v>
      </c>
      <c r="V100" s="20">
        <v>0.12959999999999999</v>
      </c>
      <c r="W100" s="20">
        <v>4.6655999999999996E-2</v>
      </c>
      <c r="X100" s="20">
        <v>7.7759999999999996E-2</v>
      </c>
      <c r="Y100" s="20">
        <v>7.7759999999999996E-2</v>
      </c>
      <c r="Z100" s="20">
        <v>4.6655999999999996E-2</v>
      </c>
      <c r="AA100" s="20">
        <v>7.7759999999999996E-2</v>
      </c>
      <c r="AB100" s="20">
        <v>7.7759999999999996E-2</v>
      </c>
      <c r="AC100" s="20">
        <v>4.6655999999999996E-2</v>
      </c>
      <c r="AD100" s="20">
        <v>4.6655999999999996E-2</v>
      </c>
      <c r="AE100" s="20">
        <v>4.6655999999999996E-2</v>
      </c>
      <c r="AF100" s="20">
        <v>0.216</v>
      </c>
      <c r="AG100" s="20">
        <v>0.36</v>
      </c>
      <c r="AH100" s="20">
        <v>0.6</v>
      </c>
      <c r="AI100" s="20">
        <v>1</v>
      </c>
      <c r="AJ100" s="20">
        <v>0.6</v>
      </c>
      <c r="AK100" s="20">
        <v>0.216</v>
      </c>
      <c r="AL100" s="20">
        <v>0.36</v>
      </c>
      <c r="AM100" s="20">
        <v>0.6</v>
      </c>
      <c r="AN100" s="20">
        <v>0.6</v>
      </c>
      <c r="AO100" s="20">
        <v>0.12959999999999999</v>
      </c>
      <c r="AP100" s="20">
        <v>0.216</v>
      </c>
      <c r="AQ100" s="20">
        <v>0.216</v>
      </c>
      <c r="AR100" s="20">
        <v>0.12959999999999999</v>
      </c>
      <c r="AS100" s="20">
        <v>7.7759999999999996E-2</v>
      </c>
      <c r="AT100" s="20">
        <v>7.7759999999999996E-2</v>
      </c>
      <c r="AU100" s="20">
        <v>4.6655999999999996E-2</v>
      </c>
    </row>
    <row r="101" spans="1:47" ht="14.45" x14ac:dyDescent="0.3">
      <c r="A101" t="s">
        <v>12</v>
      </c>
      <c r="F101" s="20">
        <v>0.36</v>
      </c>
      <c r="G101" s="20">
        <v>0.216</v>
      </c>
      <c r="H101" s="20">
        <v>0.12959999999999999</v>
      </c>
      <c r="I101" s="20">
        <v>0.216</v>
      </c>
      <c r="J101" s="20">
        <v>0.12959999999999999</v>
      </c>
      <c r="K101" s="20">
        <v>7.7759999999999996E-2</v>
      </c>
      <c r="L101" s="20">
        <v>0.12959999999999999</v>
      </c>
      <c r="M101" s="20">
        <v>7.7759999999999996E-2</v>
      </c>
      <c r="N101" s="20">
        <v>7.7759999999999996E-2</v>
      </c>
      <c r="O101" s="20">
        <v>4.6655999999999996E-2</v>
      </c>
      <c r="P101" s="20">
        <v>2.7993599999999997E-2</v>
      </c>
      <c r="Q101" s="20">
        <v>4.6655999999999996E-2</v>
      </c>
      <c r="R101" s="20">
        <v>2.7993599999999997E-2</v>
      </c>
      <c r="S101" s="20">
        <v>7.7759999999999996E-2</v>
      </c>
      <c r="T101" s="20">
        <v>7.7759999999999996E-2</v>
      </c>
      <c r="U101" s="20">
        <v>0.12959999999999999</v>
      </c>
      <c r="V101" s="20">
        <v>0.216</v>
      </c>
      <c r="W101" s="20">
        <v>7.7759999999999996E-2</v>
      </c>
      <c r="X101" s="20">
        <v>0.12959999999999999</v>
      </c>
      <c r="Y101" s="20">
        <v>0.12959999999999999</v>
      </c>
      <c r="Z101" s="20">
        <v>7.7759999999999996E-2</v>
      </c>
      <c r="AA101" s="20">
        <v>7.7759999999999996E-2</v>
      </c>
      <c r="AB101" s="20">
        <v>7.7759999999999996E-2</v>
      </c>
      <c r="AC101" s="20">
        <v>4.6655999999999996E-2</v>
      </c>
      <c r="AD101" s="20">
        <v>4.6655999999999996E-2</v>
      </c>
      <c r="AE101" s="20">
        <v>4.6655999999999996E-2</v>
      </c>
      <c r="AF101" s="20">
        <v>0.36</v>
      </c>
      <c r="AG101" s="20">
        <v>0.6</v>
      </c>
      <c r="AH101" s="20">
        <v>0.6</v>
      </c>
      <c r="AI101" s="20">
        <v>0.6</v>
      </c>
      <c r="AJ101" s="20">
        <v>1</v>
      </c>
      <c r="AK101" s="20">
        <v>0.216</v>
      </c>
      <c r="AL101" s="20">
        <v>0.36</v>
      </c>
      <c r="AM101" s="20">
        <v>0.6</v>
      </c>
      <c r="AN101" s="20">
        <v>0.36</v>
      </c>
      <c r="AO101" s="20">
        <v>0.12959999999999999</v>
      </c>
      <c r="AP101" s="20">
        <v>0.216</v>
      </c>
      <c r="AQ101" s="20">
        <v>0.216</v>
      </c>
      <c r="AR101" s="20">
        <v>0.12959999999999999</v>
      </c>
      <c r="AS101" s="20">
        <v>7.7759999999999996E-2</v>
      </c>
      <c r="AT101" s="20">
        <v>7.7759999999999996E-2</v>
      </c>
      <c r="AU101" s="20">
        <v>4.6655999999999996E-2</v>
      </c>
    </row>
    <row r="102" spans="1:47" ht="14.45" x14ac:dyDescent="0.3">
      <c r="A102" t="s">
        <v>13</v>
      </c>
      <c r="F102" s="20">
        <v>0.12959999999999999</v>
      </c>
      <c r="G102" s="20">
        <v>7.7759999999999996E-2</v>
      </c>
      <c r="H102" s="20">
        <v>0.12959999999999999</v>
      </c>
      <c r="I102" s="20">
        <v>7.7759999999999996E-2</v>
      </c>
      <c r="J102" s="20">
        <v>7.7759999999999996E-2</v>
      </c>
      <c r="K102" s="20">
        <v>7.7759999999999996E-2</v>
      </c>
      <c r="L102" s="20">
        <v>4.6655999999999996E-2</v>
      </c>
      <c r="M102" s="20">
        <v>4.6655999999999996E-2</v>
      </c>
      <c r="N102" s="20">
        <v>4.6655999999999996E-2</v>
      </c>
      <c r="O102" s="20">
        <v>7.7759999999999996E-2</v>
      </c>
      <c r="P102" s="20">
        <v>7.7759999999999996E-2</v>
      </c>
      <c r="Q102" s="20">
        <v>0.12959999999999999</v>
      </c>
      <c r="R102" s="20">
        <v>7.7759999999999996E-2</v>
      </c>
      <c r="S102" s="20">
        <v>0.216</v>
      </c>
      <c r="T102" s="20">
        <v>0.216</v>
      </c>
      <c r="U102" s="20">
        <v>0.36</v>
      </c>
      <c r="V102" s="20">
        <v>0.6</v>
      </c>
      <c r="W102" s="20">
        <v>0.216</v>
      </c>
      <c r="X102" s="20">
        <v>0.36</v>
      </c>
      <c r="Y102" s="20">
        <v>0.36</v>
      </c>
      <c r="Z102" s="20">
        <v>0.216</v>
      </c>
      <c r="AA102" s="20">
        <v>0.36</v>
      </c>
      <c r="AB102" s="20">
        <v>0.36</v>
      </c>
      <c r="AC102" s="20">
        <v>0.216</v>
      </c>
      <c r="AD102" s="20">
        <v>0.216</v>
      </c>
      <c r="AE102" s="20">
        <v>0.216</v>
      </c>
      <c r="AF102" s="20">
        <v>0.6</v>
      </c>
      <c r="AG102" s="20">
        <v>0.36</v>
      </c>
      <c r="AH102" s="20">
        <v>0.216</v>
      </c>
      <c r="AI102" s="20">
        <v>0.216</v>
      </c>
      <c r="AJ102" s="20">
        <v>0.216</v>
      </c>
      <c r="AK102" s="20">
        <v>1</v>
      </c>
      <c r="AL102" s="20">
        <v>0.6</v>
      </c>
      <c r="AM102" s="20">
        <v>0.36</v>
      </c>
      <c r="AN102" s="20">
        <v>0.216</v>
      </c>
      <c r="AO102" s="20">
        <v>0.6</v>
      </c>
      <c r="AP102" s="20">
        <v>0.6</v>
      </c>
      <c r="AQ102" s="20">
        <v>0.36</v>
      </c>
      <c r="AR102" s="20">
        <v>0.216</v>
      </c>
      <c r="AS102" s="20">
        <v>0.12959999999999999</v>
      </c>
      <c r="AT102" s="20">
        <v>0.12959999999999999</v>
      </c>
      <c r="AU102" s="20">
        <v>7.7759999999999996E-2</v>
      </c>
    </row>
    <row r="103" spans="1:47" ht="14.45" x14ac:dyDescent="0.3">
      <c r="A103" t="s">
        <v>14</v>
      </c>
      <c r="F103" s="20">
        <v>0.216</v>
      </c>
      <c r="G103" s="20">
        <v>0.12959999999999999</v>
      </c>
      <c r="H103" s="20">
        <v>7.7759999999999996E-2</v>
      </c>
      <c r="I103" s="20">
        <v>0.12959999999999999</v>
      </c>
      <c r="J103" s="20">
        <v>7.7759999999999996E-2</v>
      </c>
      <c r="K103" s="20">
        <v>4.6655999999999996E-2</v>
      </c>
      <c r="L103" s="20">
        <v>7.7759999999999996E-2</v>
      </c>
      <c r="M103" s="20">
        <v>4.6655999999999996E-2</v>
      </c>
      <c r="N103" s="20">
        <v>4.6655999999999996E-2</v>
      </c>
      <c r="O103" s="20">
        <v>4.6655999999999996E-2</v>
      </c>
      <c r="P103" s="20">
        <v>4.6655999999999996E-2</v>
      </c>
      <c r="Q103" s="20">
        <v>7.7759999999999996E-2</v>
      </c>
      <c r="R103" s="20">
        <v>4.6655999999999996E-2</v>
      </c>
      <c r="S103" s="20">
        <v>0.12959999999999999</v>
      </c>
      <c r="T103" s="20">
        <v>0.12959999999999999</v>
      </c>
      <c r="U103" s="20">
        <v>0.216</v>
      </c>
      <c r="V103" s="20">
        <v>0.36</v>
      </c>
      <c r="W103" s="20">
        <v>0.12959999999999999</v>
      </c>
      <c r="X103" s="20">
        <v>0.216</v>
      </c>
      <c r="Y103" s="20">
        <v>0.216</v>
      </c>
      <c r="Z103" s="20">
        <v>0.12959999999999999</v>
      </c>
      <c r="AA103" s="20">
        <v>0.216</v>
      </c>
      <c r="AB103" s="20">
        <v>0.216</v>
      </c>
      <c r="AC103" s="20">
        <v>0.12959999999999999</v>
      </c>
      <c r="AD103" s="20">
        <v>0.12959999999999999</v>
      </c>
      <c r="AE103" s="20">
        <v>0.12959999999999999</v>
      </c>
      <c r="AF103" s="20">
        <v>0.6</v>
      </c>
      <c r="AG103" s="20">
        <v>0.6</v>
      </c>
      <c r="AH103" s="20">
        <v>0.36</v>
      </c>
      <c r="AI103" s="20">
        <v>0.36</v>
      </c>
      <c r="AJ103" s="20">
        <v>0.36</v>
      </c>
      <c r="AK103" s="20">
        <v>0.6</v>
      </c>
      <c r="AL103" s="20">
        <v>1</v>
      </c>
      <c r="AM103" s="20">
        <v>0.6</v>
      </c>
      <c r="AN103" s="20">
        <v>0.36</v>
      </c>
      <c r="AO103" s="20">
        <v>0.36</v>
      </c>
      <c r="AP103" s="20">
        <v>0.6</v>
      </c>
      <c r="AQ103" s="20">
        <v>0.6</v>
      </c>
      <c r="AR103" s="20">
        <v>0.36</v>
      </c>
      <c r="AS103" s="20">
        <v>0.216</v>
      </c>
      <c r="AT103" s="20">
        <v>0.216</v>
      </c>
      <c r="AU103" s="20">
        <v>0.12959999999999999</v>
      </c>
    </row>
    <row r="104" spans="1:47" ht="14.45" x14ac:dyDescent="0.3">
      <c r="A104" t="s">
        <v>15</v>
      </c>
      <c r="F104" s="20">
        <v>0.36</v>
      </c>
      <c r="G104" s="20">
        <v>0.216</v>
      </c>
      <c r="H104" s="20">
        <v>0.12959999999999999</v>
      </c>
      <c r="I104" s="20">
        <v>0.216</v>
      </c>
      <c r="J104" s="20">
        <v>0.12959999999999999</v>
      </c>
      <c r="K104" s="20">
        <v>7.7759999999999996E-2</v>
      </c>
      <c r="L104" s="20">
        <v>0.12959999999999999</v>
      </c>
      <c r="M104" s="20">
        <v>7.7759999999999996E-2</v>
      </c>
      <c r="N104" s="20">
        <v>7.7759999999999996E-2</v>
      </c>
      <c r="O104" s="20">
        <v>4.6655999999999996E-2</v>
      </c>
      <c r="P104" s="20">
        <v>2.7993599999999997E-2</v>
      </c>
      <c r="Q104" s="20">
        <v>4.6655999999999996E-2</v>
      </c>
      <c r="R104" s="20">
        <v>2.7993599999999997E-2</v>
      </c>
      <c r="S104" s="20">
        <v>7.7759999999999996E-2</v>
      </c>
      <c r="T104" s="20">
        <v>7.7759999999999996E-2</v>
      </c>
      <c r="U104" s="20">
        <v>0.12959999999999999</v>
      </c>
      <c r="V104" s="20">
        <v>0.216</v>
      </c>
      <c r="W104" s="20">
        <v>7.7759999999999996E-2</v>
      </c>
      <c r="X104" s="20">
        <v>0.12959999999999999</v>
      </c>
      <c r="Y104" s="20">
        <v>0.12959999999999999</v>
      </c>
      <c r="Z104" s="20">
        <v>7.7759999999999996E-2</v>
      </c>
      <c r="AA104" s="20">
        <v>0.12959999999999999</v>
      </c>
      <c r="AB104" s="20">
        <v>0.12959999999999999</v>
      </c>
      <c r="AC104" s="20">
        <v>7.7759999999999996E-2</v>
      </c>
      <c r="AD104" s="20">
        <v>7.7759999999999996E-2</v>
      </c>
      <c r="AE104" s="20">
        <v>7.7759999999999996E-2</v>
      </c>
      <c r="AF104" s="20">
        <v>0.36</v>
      </c>
      <c r="AG104" s="20">
        <v>0.6</v>
      </c>
      <c r="AH104" s="20">
        <v>0.36</v>
      </c>
      <c r="AI104" s="20">
        <v>0.6</v>
      </c>
      <c r="AJ104" s="20">
        <v>0.6</v>
      </c>
      <c r="AK104" s="20">
        <v>0.36</v>
      </c>
      <c r="AL104" s="20">
        <v>0.6</v>
      </c>
      <c r="AM104" s="20">
        <v>1</v>
      </c>
      <c r="AN104" s="20">
        <v>0.6</v>
      </c>
      <c r="AO104" s="20">
        <v>0.216</v>
      </c>
      <c r="AP104" s="20">
        <v>0.36</v>
      </c>
      <c r="AQ104" s="20">
        <v>0.36</v>
      </c>
      <c r="AR104" s="20">
        <v>0.216</v>
      </c>
      <c r="AS104" s="20">
        <v>0.12959999999999999</v>
      </c>
      <c r="AT104" s="20">
        <v>0.12959999999999999</v>
      </c>
      <c r="AU104" s="20">
        <v>7.7759999999999996E-2</v>
      </c>
    </row>
    <row r="105" spans="1:47" ht="14.45" x14ac:dyDescent="0.3">
      <c r="A105" t="s">
        <v>16</v>
      </c>
      <c r="F105" s="20">
        <v>0.36</v>
      </c>
      <c r="G105" s="20">
        <v>0.216</v>
      </c>
      <c r="H105" s="20">
        <v>0.12959999999999999</v>
      </c>
      <c r="I105" s="20">
        <v>0.216</v>
      </c>
      <c r="J105" s="20">
        <v>0.12959999999999999</v>
      </c>
      <c r="K105" s="20">
        <v>7.7759999999999996E-2</v>
      </c>
      <c r="L105" s="20">
        <v>0.12959999999999999</v>
      </c>
      <c r="M105" s="20">
        <v>7.7759999999999996E-2</v>
      </c>
      <c r="N105" s="20">
        <v>7.7759999999999996E-2</v>
      </c>
      <c r="O105" s="20">
        <v>4.6655999999999996E-2</v>
      </c>
      <c r="P105" s="20">
        <v>2.7993599999999997E-2</v>
      </c>
      <c r="Q105" s="20">
        <v>2.7993599999999997E-2</v>
      </c>
      <c r="R105" s="20">
        <v>1.6796159999999997E-2</v>
      </c>
      <c r="S105" s="20">
        <v>7.7759999999999996E-2</v>
      </c>
      <c r="T105" s="20">
        <v>4.6655999999999996E-2</v>
      </c>
      <c r="U105" s="20">
        <v>7.7759999999999996E-2</v>
      </c>
      <c r="V105" s="20">
        <v>0.12959999999999999</v>
      </c>
      <c r="W105" s="20">
        <v>4.6655999999999996E-2</v>
      </c>
      <c r="X105" s="20">
        <v>7.7759999999999996E-2</v>
      </c>
      <c r="Y105" s="20">
        <v>7.7759999999999996E-2</v>
      </c>
      <c r="Z105" s="20">
        <v>4.6655999999999996E-2</v>
      </c>
      <c r="AA105" s="20">
        <v>7.7759999999999996E-2</v>
      </c>
      <c r="AB105" s="20">
        <v>7.7759999999999996E-2</v>
      </c>
      <c r="AC105" s="20">
        <v>4.6655999999999996E-2</v>
      </c>
      <c r="AD105" s="20">
        <v>4.6655999999999996E-2</v>
      </c>
      <c r="AE105" s="20">
        <v>4.6655999999999996E-2</v>
      </c>
      <c r="AF105" s="20">
        <v>0.216</v>
      </c>
      <c r="AG105" s="20">
        <v>0.36</v>
      </c>
      <c r="AH105" s="20">
        <v>0.36</v>
      </c>
      <c r="AI105" s="20">
        <v>0.6</v>
      </c>
      <c r="AJ105" s="20">
        <v>0.36</v>
      </c>
      <c r="AK105" s="20">
        <v>0.216</v>
      </c>
      <c r="AL105" s="20">
        <v>0.36</v>
      </c>
      <c r="AM105" s="20">
        <v>0.6</v>
      </c>
      <c r="AN105" s="20">
        <v>1</v>
      </c>
      <c r="AO105" s="20">
        <v>0.12959999999999999</v>
      </c>
      <c r="AP105" s="20">
        <v>0.216</v>
      </c>
      <c r="AQ105" s="20">
        <v>0.216</v>
      </c>
      <c r="AR105" s="20">
        <v>0.12959999999999999</v>
      </c>
      <c r="AS105" s="20">
        <v>7.7759999999999996E-2</v>
      </c>
      <c r="AT105" s="20">
        <v>7.7759999999999996E-2</v>
      </c>
      <c r="AU105" s="20">
        <v>4.6655999999999996E-2</v>
      </c>
    </row>
    <row r="106" spans="1:47" ht="14.45" x14ac:dyDescent="0.3">
      <c r="A106" t="s">
        <v>17</v>
      </c>
      <c r="F106" s="20">
        <v>7.7759999999999996E-2</v>
      </c>
      <c r="G106" s="20">
        <v>7.7759999999999996E-2</v>
      </c>
      <c r="H106" s="20">
        <v>0.12959999999999999</v>
      </c>
      <c r="I106" s="20">
        <v>4.6655999999999996E-2</v>
      </c>
      <c r="J106" s="20">
        <v>7.7759999999999996E-2</v>
      </c>
      <c r="K106" s="20">
        <v>7.7759999999999996E-2</v>
      </c>
      <c r="L106" s="20">
        <v>4.6655999999999996E-2</v>
      </c>
      <c r="M106" s="20">
        <v>4.6655999999999996E-2</v>
      </c>
      <c r="N106" s="20">
        <v>7.7759999999999996E-2</v>
      </c>
      <c r="O106" s="20">
        <v>0.12959999999999999</v>
      </c>
      <c r="P106" s="20">
        <v>0.12959999999999999</v>
      </c>
      <c r="Q106" s="20">
        <v>0.216</v>
      </c>
      <c r="R106" s="20">
        <v>0.12959999999999999</v>
      </c>
      <c r="S106" s="20">
        <v>0.216</v>
      </c>
      <c r="T106" s="20">
        <v>0.216</v>
      </c>
      <c r="U106" s="20">
        <v>0.36</v>
      </c>
      <c r="V106" s="20">
        <v>0.6</v>
      </c>
      <c r="W106" s="20">
        <v>0.36</v>
      </c>
      <c r="X106" s="20">
        <v>0.36</v>
      </c>
      <c r="Y106" s="20">
        <v>0.6</v>
      </c>
      <c r="Z106" s="20">
        <v>0.36</v>
      </c>
      <c r="AA106" s="20">
        <v>0.6</v>
      </c>
      <c r="AB106" s="20">
        <v>0.6</v>
      </c>
      <c r="AC106" s="20">
        <v>0.36</v>
      </c>
      <c r="AD106" s="20">
        <v>0.36</v>
      </c>
      <c r="AE106" s="20">
        <v>0.36</v>
      </c>
      <c r="AF106" s="20">
        <v>0.36</v>
      </c>
      <c r="AG106" s="20">
        <v>0.216</v>
      </c>
      <c r="AH106" s="20">
        <v>0.12959999999999999</v>
      </c>
      <c r="AI106" s="20">
        <v>0.12959999999999999</v>
      </c>
      <c r="AJ106" s="20">
        <v>0.12959999999999999</v>
      </c>
      <c r="AK106" s="20">
        <v>0.6</v>
      </c>
      <c r="AL106" s="20">
        <v>0.36</v>
      </c>
      <c r="AM106" s="20">
        <v>0.216</v>
      </c>
      <c r="AN106" s="20">
        <v>0.12959999999999999</v>
      </c>
      <c r="AO106" s="20">
        <v>1</v>
      </c>
      <c r="AP106" s="20">
        <v>0.6</v>
      </c>
      <c r="AQ106" s="20">
        <v>0.36</v>
      </c>
      <c r="AR106" s="20">
        <v>0.216</v>
      </c>
      <c r="AS106" s="20">
        <v>0.12959999999999999</v>
      </c>
      <c r="AT106" s="20">
        <v>0.12959999999999999</v>
      </c>
      <c r="AU106" s="20">
        <v>7.7759999999999996E-2</v>
      </c>
    </row>
    <row r="107" spans="1:47" ht="14.45" x14ac:dyDescent="0.3">
      <c r="A107" t="s">
        <v>18</v>
      </c>
      <c r="F107" s="20">
        <v>0.12959999999999999</v>
      </c>
      <c r="G107" s="20">
        <v>7.7759999999999996E-2</v>
      </c>
      <c r="H107" s="20">
        <v>7.7759999999999996E-2</v>
      </c>
      <c r="I107" s="20">
        <v>7.7759999999999996E-2</v>
      </c>
      <c r="J107" s="20">
        <v>4.6655999999999996E-2</v>
      </c>
      <c r="K107" s="20">
        <v>4.6655999999999996E-2</v>
      </c>
      <c r="L107" s="20">
        <v>4.6655999999999996E-2</v>
      </c>
      <c r="M107" s="20">
        <v>2.7993599999999997E-2</v>
      </c>
      <c r="N107" s="20">
        <v>4.6655999999999996E-2</v>
      </c>
      <c r="O107" s="20">
        <v>7.7759999999999996E-2</v>
      </c>
      <c r="P107" s="20">
        <v>7.7759999999999996E-2</v>
      </c>
      <c r="Q107" s="20">
        <v>0.12959999999999999</v>
      </c>
      <c r="R107" s="20">
        <v>7.7759999999999996E-2</v>
      </c>
      <c r="S107" s="20">
        <v>0.12959999999999999</v>
      </c>
      <c r="T107" s="20">
        <v>0.12959999999999999</v>
      </c>
      <c r="U107" s="20">
        <v>0.216</v>
      </c>
      <c r="V107" s="20">
        <v>0.36</v>
      </c>
      <c r="W107" s="20">
        <v>0.216</v>
      </c>
      <c r="X107" s="20">
        <v>0.216</v>
      </c>
      <c r="Y107" s="20">
        <v>0.36</v>
      </c>
      <c r="Z107" s="20">
        <v>0.216</v>
      </c>
      <c r="AA107" s="20">
        <v>0.36</v>
      </c>
      <c r="AB107" s="20">
        <v>0.36</v>
      </c>
      <c r="AC107" s="20">
        <v>0.216</v>
      </c>
      <c r="AD107" s="20">
        <v>0.216</v>
      </c>
      <c r="AE107" s="20">
        <v>0.216</v>
      </c>
      <c r="AF107" s="20">
        <v>0.36</v>
      </c>
      <c r="AG107" s="20">
        <v>0.36</v>
      </c>
      <c r="AH107" s="20">
        <v>0.216</v>
      </c>
      <c r="AI107" s="20">
        <v>0.216</v>
      </c>
      <c r="AJ107" s="20">
        <v>0.216</v>
      </c>
      <c r="AK107" s="20">
        <v>0.6</v>
      </c>
      <c r="AL107" s="20">
        <v>0.6</v>
      </c>
      <c r="AM107" s="20">
        <v>0.36</v>
      </c>
      <c r="AN107" s="20">
        <v>0.216</v>
      </c>
      <c r="AO107" s="20">
        <v>0.6</v>
      </c>
      <c r="AP107" s="20">
        <v>1</v>
      </c>
      <c r="AQ107" s="20">
        <v>0.6</v>
      </c>
      <c r="AR107" s="20">
        <v>0.36</v>
      </c>
      <c r="AS107" s="20">
        <v>0.216</v>
      </c>
      <c r="AT107" s="20">
        <v>0.216</v>
      </c>
      <c r="AU107" s="20">
        <v>0.12959999999999999</v>
      </c>
    </row>
    <row r="108" spans="1:47" ht="14.45" x14ac:dyDescent="0.3">
      <c r="A108" t="s">
        <v>19</v>
      </c>
      <c r="F108" s="20">
        <v>0.12959999999999999</v>
      </c>
      <c r="G108" s="20">
        <v>7.7759999999999996E-2</v>
      </c>
      <c r="H108" s="20">
        <v>4.6655999999999996E-2</v>
      </c>
      <c r="I108" s="20">
        <v>7.7759999999999996E-2</v>
      </c>
      <c r="J108" s="20">
        <v>4.6655999999999996E-2</v>
      </c>
      <c r="K108" s="20">
        <v>2.7993599999999997E-2</v>
      </c>
      <c r="L108" s="20">
        <v>4.6655999999999996E-2</v>
      </c>
      <c r="M108" s="20">
        <v>2.7993599999999997E-2</v>
      </c>
      <c r="N108" s="20">
        <v>2.7993599999999997E-2</v>
      </c>
      <c r="O108" s="20">
        <v>4.6655999999999996E-2</v>
      </c>
      <c r="P108" s="20">
        <v>4.6655999999999996E-2</v>
      </c>
      <c r="Q108" s="20">
        <v>7.7759999999999996E-2</v>
      </c>
      <c r="R108" s="20">
        <v>4.6655999999999996E-2</v>
      </c>
      <c r="S108" s="20">
        <v>7.7759999999999996E-2</v>
      </c>
      <c r="T108" s="20">
        <v>7.7759999999999996E-2</v>
      </c>
      <c r="U108" s="20">
        <v>0.12959999999999999</v>
      </c>
      <c r="V108" s="20">
        <v>0.216</v>
      </c>
      <c r="W108" s="20">
        <v>0.12959999999999999</v>
      </c>
      <c r="X108" s="20">
        <v>0.12959999999999999</v>
      </c>
      <c r="Y108" s="20">
        <v>0.216</v>
      </c>
      <c r="Z108" s="20">
        <v>0.12959999999999999</v>
      </c>
      <c r="AA108" s="20">
        <v>0.216</v>
      </c>
      <c r="AB108" s="20">
        <v>0.216</v>
      </c>
      <c r="AC108" s="20">
        <v>0.12959999999999999</v>
      </c>
      <c r="AD108" s="20">
        <v>0.12959999999999999</v>
      </c>
      <c r="AE108" s="20">
        <v>0.12959999999999999</v>
      </c>
      <c r="AF108" s="20">
        <v>0.36</v>
      </c>
      <c r="AG108" s="20">
        <v>0.36</v>
      </c>
      <c r="AH108" s="20">
        <v>0.216</v>
      </c>
      <c r="AI108" s="20">
        <v>0.216</v>
      </c>
      <c r="AJ108" s="20">
        <v>0.216</v>
      </c>
      <c r="AK108" s="20">
        <v>0.36</v>
      </c>
      <c r="AL108" s="20">
        <v>0.6</v>
      </c>
      <c r="AM108" s="20">
        <v>0.36</v>
      </c>
      <c r="AN108" s="20">
        <v>0.216</v>
      </c>
      <c r="AO108" s="20">
        <v>0.36</v>
      </c>
      <c r="AP108" s="20">
        <v>0.6</v>
      </c>
      <c r="AQ108" s="20">
        <v>1</v>
      </c>
      <c r="AR108" s="20">
        <v>0.6</v>
      </c>
      <c r="AS108" s="20">
        <v>0.36</v>
      </c>
      <c r="AT108" s="20">
        <v>0.36</v>
      </c>
      <c r="AU108" s="20">
        <v>0.216</v>
      </c>
    </row>
    <row r="109" spans="1:47" ht="14.45" x14ac:dyDescent="0.3">
      <c r="A109" t="s">
        <v>20</v>
      </c>
      <c r="F109" s="20">
        <v>7.7759999999999996E-2</v>
      </c>
      <c r="G109" s="20">
        <v>4.6655999999999996E-2</v>
      </c>
      <c r="H109" s="20">
        <v>2.7993599999999997E-2</v>
      </c>
      <c r="I109" s="20">
        <v>4.6655999999999996E-2</v>
      </c>
      <c r="J109" s="20">
        <v>2.7993599999999997E-2</v>
      </c>
      <c r="K109" s="20">
        <v>1.6796159999999997E-2</v>
      </c>
      <c r="L109" s="20">
        <v>2.7993599999999997E-2</v>
      </c>
      <c r="M109" s="20">
        <v>1.6796159999999997E-2</v>
      </c>
      <c r="N109" s="20">
        <v>1.6796159999999997E-2</v>
      </c>
      <c r="O109" s="20">
        <v>2.7993599999999997E-2</v>
      </c>
      <c r="P109" s="20">
        <v>2.7993599999999997E-2</v>
      </c>
      <c r="Q109" s="20">
        <v>4.6655999999999996E-2</v>
      </c>
      <c r="R109" s="20">
        <v>2.7993599999999997E-2</v>
      </c>
      <c r="S109" s="20">
        <v>4.6655999999999996E-2</v>
      </c>
      <c r="T109" s="20">
        <v>4.6655999999999996E-2</v>
      </c>
      <c r="U109" s="20">
        <v>7.7759999999999996E-2</v>
      </c>
      <c r="V109" s="20">
        <v>0.12959999999999999</v>
      </c>
      <c r="W109" s="20">
        <v>7.7759999999999996E-2</v>
      </c>
      <c r="X109" s="20">
        <v>7.7759999999999996E-2</v>
      </c>
      <c r="Y109" s="20">
        <v>0.12959999999999999</v>
      </c>
      <c r="Z109" s="20">
        <v>7.7759999999999996E-2</v>
      </c>
      <c r="AA109" s="20">
        <v>0.12959999999999999</v>
      </c>
      <c r="AB109" s="20">
        <v>0.12959999999999999</v>
      </c>
      <c r="AC109" s="20">
        <v>7.7759999999999996E-2</v>
      </c>
      <c r="AD109" s="20">
        <v>7.7759999999999996E-2</v>
      </c>
      <c r="AE109" s="20">
        <v>7.7759999999999996E-2</v>
      </c>
      <c r="AF109" s="20">
        <v>0.216</v>
      </c>
      <c r="AG109" s="20">
        <v>0.216</v>
      </c>
      <c r="AH109" s="20">
        <v>0.12959999999999999</v>
      </c>
      <c r="AI109" s="20">
        <v>0.12959999999999999</v>
      </c>
      <c r="AJ109" s="20">
        <v>0.12959999999999999</v>
      </c>
      <c r="AK109" s="20">
        <v>0.216</v>
      </c>
      <c r="AL109" s="20">
        <v>0.36</v>
      </c>
      <c r="AM109" s="20">
        <v>0.216</v>
      </c>
      <c r="AN109" s="20">
        <v>0.12959999999999999</v>
      </c>
      <c r="AO109" s="20">
        <v>0.216</v>
      </c>
      <c r="AP109" s="20">
        <v>0.36</v>
      </c>
      <c r="AQ109" s="20">
        <v>0.6</v>
      </c>
      <c r="AR109" s="20">
        <v>1</v>
      </c>
      <c r="AS109" s="20">
        <v>0.6</v>
      </c>
      <c r="AT109" s="20">
        <v>0.6</v>
      </c>
      <c r="AU109" s="20">
        <v>0.36</v>
      </c>
    </row>
    <row r="110" spans="1:47" ht="14.45" x14ac:dyDescent="0.3">
      <c r="A110" t="s">
        <v>21</v>
      </c>
      <c r="F110" s="20">
        <v>4.6655999999999996E-2</v>
      </c>
      <c r="G110" s="20">
        <v>2.7993599999999997E-2</v>
      </c>
      <c r="H110" s="20">
        <v>1.6796159999999997E-2</v>
      </c>
      <c r="I110" s="20">
        <v>2.7993599999999997E-2</v>
      </c>
      <c r="J110" s="20">
        <v>1.6796159999999997E-2</v>
      </c>
      <c r="K110" s="20">
        <v>1.0077695999999999E-2</v>
      </c>
      <c r="L110" s="20">
        <v>1.6796159999999997E-2</v>
      </c>
      <c r="M110" s="20">
        <v>1.0077695999999999E-2</v>
      </c>
      <c r="N110" s="20">
        <v>1.0077695999999999E-2</v>
      </c>
      <c r="O110" s="20">
        <v>1.6796159999999997E-2</v>
      </c>
      <c r="P110" s="20">
        <v>1.6796159999999997E-2</v>
      </c>
      <c r="Q110" s="20">
        <v>2.7993599999999997E-2</v>
      </c>
      <c r="R110" s="20">
        <v>1.6796159999999997E-2</v>
      </c>
      <c r="S110" s="20">
        <v>2.7993599999999997E-2</v>
      </c>
      <c r="T110" s="20">
        <v>2.7993599999999997E-2</v>
      </c>
      <c r="U110" s="20">
        <v>4.6655999999999996E-2</v>
      </c>
      <c r="V110" s="20">
        <v>7.7759999999999996E-2</v>
      </c>
      <c r="W110" s="20">
        <v>4.6655999999999996E-2</v>
      </c>
      <c r="X110" s="20">
        <v>4.6655999999999996E-2</v>
      </c>
      <c r="Y110" s="20">
        <v>7.7759999999999996E-2</v>
      </c>
      <c r="Z110" s="20">
        <v>4.6655999999999996E-2</v>
      </c>
      <c r="AA110" s="20">
        <v>7.7759999999999996E-2</v>
      </c>
      <c r="AB110" s="20">
        <v>7.7759999999999996E-2</v>
      </c>
      <c r="AC110" s="20">
        <v>4.6655999999999996E-2</v>
      </c>
      <c r="AD110" s="20">
        <v>4.6655999999999996E-2</v>
      </c>
      <c r="AE110" s="20">
        <v>4.6655999999999996E-2</v>
      </c>
      <c r="AF110" s="20">
        <v>0.12959999999999999</v>
      </c>
      <c r="AG110" s="20">
        <v>0.12959999999999999</v>
      </c>
      <c r="AH110" s="20">
        <v>7.7759999999999996E-2</v>
      </c>
      <c r="AI110" s="20">
        <v>7.7759999999999996E-2</v>
      </c>
      <c r="AJ110" s="20">
        <v>7.7759999999999996E-2</v>
      </c>
      <c r="AK110" s="20">
        <v>0.12959999999999999</v>
      </c>
      <c r="AL110" s="20">
        <v>0.216</v>
      </c>
      <c r="AM110" s="20">
        <v>0.12959999999999999</v>
      </c>
      <c r="AN110" s="20">
        <v>7.7759999999999996E-2</v>
      </c>
      <c r="AO110" s="20">
        <v>0.12959999999999999</v>
      </c>
      <c r="AP110" s="20">
        <v>0.216</v>
      </c>
      <c r="AQ110" s="20">
        <v>0.36</v>
      </c>
      <c r="AR110" s="20">
        <v>0.6</v>
      </c>
      <c r="AS110" s="20">
        <v>1</v>
      </c>
      <c r="AT110" s="20">
        <v>0.6</v>
      </c>
      <c r="AU110" s="20">
        <v>0.6</v>
      </c>
    </row>
    <row r="111" spans="1:47" ht="14.45" x14ac:dyDescent="0.3">
      <c r="A111" t="s">
        <v>22</v>
      </c>
      <c r="F111" s="20">
        <v>4.6655999999999996E-2</v>
      </c>
      <c r="G111" s="20">
        <v>2.7993599999999997E-2</v>
      </c>
      <c r="H111" s="20">
        <v>1.6796159999999997E-2</v>
      </c>
      <c r="I111" s="20">
        <v>2.7993599999999997E-2</v>
      </c>
      <c r="J111" s="20">
        <v>1.6796159999999997E-2</v>
      </c>
      <c r="K111" s="20">
        <v>1.0077695999999999E-2</v>
      </c>
      <c r="L111" s="20">
        <v>1.6796159999999997E-2</v>
      </c>
      <c r="M111" s="20">
        <v>1.0077695999999999E-2</v>
      </c>
      <c r="N111" s="20">
        <v>1.0077695999999999E-2</v>
      </c>
      <c r="O111" s="20">
        <v>1.6796159999999997E-2</v>
      </c>
      <c r="P111" s="20">
        <v>1.6796159999999997E-2</v>
      </c>
      <c r="Q111" s="20">
        <v>2.7993599999999997E-2</v>
      </c>
      <c r="R111" s="20">
        <v>1.6796159999999997E-2</v>
      </c>
      <c r="S111" s="20">
        <v>2.7993599999999997E-2</v>
      </c>
      <c r="T111" s="20">
        <v>2.7993599999999997E-2</v>
      </c>
      <c r="U111" s="20">
        <v>4.6655999999999996E-2</v>
      </c>
      <c r="V111" s="20">
        <v>7.7759999999999996E-2</v>
      </c>
      <c r="W111" s="20">
        <v>4.6655999999999996E-2</v>
      </c>
      <c r="X111" s="20">
        <v>4.6655999999999996E-2</v>
      </c>
      <c r="Y111" s="20">
        <v>7.7759999999999996E-2</v>
      </c>
      <c r="Z111" s="20">
        <v>4.6655999999999996E-2</v>
      </c>
      <c r="AA111" s="20">
        <v>7.7759999999999996E-2</v>
      </c>
      <c r="AB111" s="20">
        <v>7.7759999999999996E-2</v>
      </c>
      <c r="AC111" s="20">
        <v>4.6655999999999996E-2</v>
      </c>
      <c r="AD111" s="20">
        <v>4.6655999999999996E-2</v>
      </c>
      <c r="AE111" s="20">
        <v>4.6655999999999996E-2</v>
      </c>
      <c r="AF111" s="20">
        <v>0.12959999999999999</v>
      </c>
      <c r="AG111" s="20">
        <v>0.12959999999999999</v>
      </c>
      <c r="AH111" s="20">
        <v>7.7759999999999996E-2</v>
      </c>
      <c r="AI111" s="20">
        <v>7.7759999999999996E-2</v>
      </c>
      <c r="AJ111" s="20">
        <v>7.7759999999999996E-2</v>
      </c>
      <c r="AK111" s="20">
        <v>0.12959999999999999</v>
      </c>
      <c r="AL111" s="20">
        <v>0.216</v>
      </c>
      <c r="AM111" s="20">
        <v>0.12959999999999999</v>
      </c>
      <c r="AN111" s="20">
        <v>7.7759999999999996E-2</v>
      </c>
      <c r="AO111" s="20">
        <v>0.12959999999999999</v>
      </c>
      <c r="AP111" s="20">
        <v>0.216</v>
      </c>
      <c r="AQ111" s="20">
        <v>0.36</v>
      </c>
      <c r="AR111" s="20">
        <v>0.6</v>
      </c>
      <c r="AS111" s="20">
        <v>0.6</v>
      </c>
      <c r="AT111" s="20">
        <v>1</v>
      </c>
      <c r="AU111" s="20">
        <v>0.6</v>
      </c>
    </row>
    <row r="112" spans="1:47" ht="14.45" x14ac:dyDescent="0.3">
      <c r="A112" t="s">
        <v>23</v>
      </c>
      <c r="F112" s="20">
        <v>4.6655999999999996E-2</v>
      </c>
      <c r="G112" s="20">
        <v>2.7993599999999997E-2</v>
      </c>
      <c r="H112" s="20">
        <v>1.6796159999999997E-2</v>
      </c>
      <c r="I112" s="20">
        <v>2.7993599999999997E-2</v>
      </c>
      <c r="J112" s="20">
        <v>1.6796159999999997E-2</v>
      </c>
      <c r="K112" s="20">
        <v>1.0077695999999999E-2</v>
      </c>
      <c r="L112" s="20">
        <v>1.6796159999999997E-2</v>
      </c>
      <c r="M112" s="20">
        <v>1.0077695999999999E-2</v>
      </c>
      <c r="N112" s="20">
        <v>1.0077695999999999E-2</v>
      </c>
      <c r="O112" s="20">
        <v>1.6796159999999997E-2</v>
      </c>
      <c r="P112" s="20">
        <v>1.6796159999999997E-2</v>
      </c>
      <c r="Q112" s="20">
        <v>2.7993599999999997E-2</v>
      </c>
      <c r="R112" s="20">
        <v>1.6796159999999997E-2</v>
      </c>
      <c r="S112" s="20">
        <v>2.7993599999999997E-2</v>
      </c>
      <c r="T112" s="20">
        <v>2.7993599999999997E-2</v>
      </c>
      <c r="U112" s="20">
        <v>4.6655999999999996E-2</v>
      </c>
      <c r="V112" s="20">
        <v>7.7759999999999996E-2</v>
      </c>
      <c r="W112" s="20">
        <v>4.6655999999999996E-2</v>
      </c>
      <c r="X112" s="20">
        <v>4.6655999999999996E-2</v>
      </c>
      <c r="Y112" s="20">
        <v>7.7759999999999996E-2</v>
      </c>
      <c r="Z112" s="20">
        <v>4.6655999999999996E-2</v>
      </c>
      <c r="AA112" s="20">
        <v>7.7759999999999996E-2</v>
      </c>
      <c r="AB112" s="20">
        <v>7.7759999999999996E-2</v>
      </c>
      <c r="AC112" s="20">
        <v>4.6655999999999996E-2</v>
      </c>
      <c r="AD112" s="20">
        <v>4.6655999999999996E-2</v>
      </c>
      <c r="AE112" s="20">
        <v>4.6655999999999996E-2</v>
      </c>
      <c r="AF112" s="20">
        <v>0.12959999999999999</v>
      </c>
      <c r="AG112" s="20">
        <v>0.12959999999999999</v>
      </c>
      <c r="AH112" s="20">
        <v>7.7759999999999996E-2</v>
      </c>
      <c r="AI112" s="20">
        <v>7.7759999999999996E-2</v>
      </c>
      <c r="AJ112" s="20">
        <v>7.7759999999999996E-2</v>
      </c>
      <c r="AK112" s="20">
        <v>0.12959999999999999</v>
      </c>
      <c r="AL112" s="20">
        <v>0.216</v>
      </c>
      <c r="AM112" s="20">
        <v>0.12959999999999999</v>
      </c>
      <c r="AN112" s="20">
        <v>7.7759999999999996E-2</v>
      </c>
      <c r="AO112" s="20">
        <v>0.12959999999999999</v>
      </c>
      <c r="AP112" s="20">
        <v>0.216</v>
      </c>
      <c r="AQ112" s="20">
        <v>0.36</v>
      </c>
      <c r="AR112" s="20">
        <v>0.6</v>
      </c>
      <c r="AS112" s="20">
        <v>1</v>
      </c>
      <c r="AT112" s="20">
        <v>1</v>
      </c>
      <c r="AU112" s="20">
        <v>1</v>
      </c>
    </row>
    <row r="113" spans="1:49" ht="14.45" x14ac:dyDescent="0.3">
      <c r="A113" t="s">
        <v>24</v>
      </c>
    </row>
    <row r="114" spans="1:49" ht="14.45" x14ac:dyDescent="0.3">
      <c r="A114" t="s">
        <v>25</v>
      </c>
      <c r="F114" s="20">
        <f>SUM(F71:F112)</f>
        <v>8.5247487999999993</v>
      </c>
      <c r="G114" s="20">
        <f t="shared" ref="G114:AU114" si="135">SUM(G71:G112)</f>
        <v>8.5626879999999979</v>
      </c>
      <c r="H114" s="20">
        <f t="shared" si="135"/>
        <v>8.8230860799999977</v>
      </c>
      <c r="I114" s="20">
        <f t="shared" si="135"/>
        <v>8.393343999999999</v>
      </c>
      <c r="J114" s="20">
        <f t="shared" si="135"/>
        <v>8.7001292799999987</v>
      </c>
      <c r="K114" s="20">
        <f t="shared" si="135"/>
        <v>7.4301460479999948</v>
      </c>
      <c r="L114" s="20">
        <f t="shared" si="135"/>
        <v>8.2056140799999966</v>
      </c>
      <c r="M114" s="20">
        <f t="shared" si="135"/>
        <v>7.6369684479999931</v>
      </c>
      <c r="N114" s="20">
        <f t="shared" si="135"/>
        <v>7.7508628479999935</v>
      </c>
      <c r="O114" s="20">
        <f t="shared" si="135"/>
        <v>8.0059340799999958</v>
      </c>
      <c r="P114" s="20">
        <f t="shared" si="135"/>
        <v>7.1974604799999993</v>
      </c>
      <c r="Q114" s="20">
        <f t="shared" si="135"/>
        <v>9.1366144000000045</v>
      </c>
      <c r="R114" s="20">
        <f t="shared" si="135"/>
        <v>6.3619686400000006</v>
      </c>
      <c r="S114" s="20">
        <f t="shared" si="135"/>
        <v>8.9786367999999985</v>
      </c>
      <c r="T114" s="20">
        <f t="shared" si="135"/>
        <v>9.1990527999999987</v>
      </c>
      <c r="U114" s="20">
        <f t="shared" si="135"/>
        <v>9.503487999999999</v>
      </c>
      <c r="V114" s="20">
        <f t="shared" si="135"/>
        <v>11.572479999999993</v>
      </c>
      <c r="W114" s="20">
        <f t="shared" si="135"/>
        <v>9.9865599999999972</v>
      </c>
      <c r="X114" s="20">
        <f t="shared" si="135"/>
        <v>9.7492479999999979</v>
      </c>
      <c r="Y114" s="20">
        <f t="shared" si="135"/>
        <v>11.072511999999994</v>
      </c>
      <c r="Z114" s="20">
        <f t="shared" si="135"/>
        <v>10.815615999999997</v>
      </c>
      <c r="AA114" s="20">
        <f t="shared" si="135"/>
        <v>10.026879999999995</v>
      </c>
      <c r="AB114" s="20">
        <f t="shared" si="135"/>
        <v>10.362879999999993</v>
      </c>
      <c r="AC114" s="20">
        <f t="shared" si="135"/>
        <v>8.4733695999999981</v>
      </c>
      <c r="AD114" s="20">
        <f t="shared" si="135"/>
        <v>7.3377279999999958</v>
      </c>
      <c r="AE114" s="20">
        <f t="shared" si="135"/>
        <v>7.0977279999999956</v>
      </c>
      <c r="AF114" s="20">
        <f t="shared" si="135"/>
        <v>10.434687999999996</v>
      </c>
      <c r="AG114" s="20">
        <f t="shared" si="135"/>
        <v>9.7058559999999972</v>
      </c>
      <c r="AH114" s="20">
        <f t="shared" si="135"/>
        <v>8.1551872000000003</v>
      </c>
      <c r="AI114" s="20">
        <f t="shared" si="135"/>
        <v>8.9913855999999974</v>
      </c>
      <c r="AJ114" s="20">
        <f t="shared" si="135"/>
        <v>8.3951871999999987</v>
      </c>
      <c r="AK114" s="20">
        <f t="shared" si="135"/>
        <v>10.933887999999998</v>
      </c>
      <c r="AL114" s="20">
        <f t="shared" si="135"/>
        <v>10.821375999999995</v>
      </c>
      <c r="AM114" s="20">
        <f t="shared" si="135"/>
        <v>9.5924991999999971</v>
      </c>
      <c r="AN114" s="20">
        <f t="shared" si="135"/>
        <v>7.4060953600000001</v>
      </c>
      <c r="AO114" s="20">
        <f t="shared" si="135"/>
        <v>11.450367999999997</v>
      </c>
      <c r="AP114" s="20">
        <f t="shared" si="135"/>
        <v>10.503577599999996</v>
      </c>
      <c r="AQ114" s="20">
        <f t="shared" si="135"/>
        <v>9.1975167999999989</v>
      </c>
      <c r="AR114" s="20">
        <f t="shared" si="135"/>
        <v>7.3105100799999994</v>
      </c>
      <c r="AS114" s="20">
        <f t="shared" si="135"/>
        <v>5.9063060479999994</v>
      </c>
      <c r="AT114" s="20">
        <f t="shared" si="135"/>
        <v>5.9063060480000003</v>
      </c>
      <c r="AU114" s="20">
        <f t="shared" si="135"/>
        <v>4.1837836288000005</v>
      </c>
      <c r="AW114" s="21">
        <f>MAX(F164:AU164)</f>
        <v>11.541375999999994</v>
      </c>
    </row>
    <row r="115" spans="1:49" ht="14.45" x14ac:dyDescent="0.3">
      <c r="A115" t="s">
        <v>26</v>
      </c>
    </row>
    <row r="116" spans="1:49" ht="14.45" x14ac:dyDescent="0.3">
      <c r="A116" t="s">
        <v>27</v>
      </c>
    </row>
    <row r="117" spans="1:49" ht="14.45" x14ac:dyDescent="0.3">
      <c r="A117" t="s">
        <v>28</v>
      </c>
    </row>
    <row r="118" spans="1:49" ht="14.45" x14ac:dyDescent="0.3">
      <c r="A118" t="s">
        <v>29</v>
      </c>
    </row>
    <row r="119" spans="1:49" ht="14.45" x14ac:dyDescent="0.3">
      <c r="A119" t="s">
        <v>30</v>
      </c>
    </row>
    <row r="120" spans="1:49" ht="14.45" x14ac:dyDescent="0.3">
      <c r="A120" t="s">
        <v>31</v>
      </c>
    </row>
    <row r="121" spans="1:49" ht="14.45" x14ac:dyDescent="0.3">
      <c r="A121" t="s">
        <v>32</v>
      </c>
      <c r="F121" s="20">
        <v>1</v>
      </c>
      <c r="G121" s="20">
        <v>0.6</v>
      </c>
      <c r="H121" s="20">
        <v>0.36</v>
      </c>
      <c r="I121" s="20">
        <v>0.6</v>
      </c>
      <c r="J121" s="20">
        <v>0.36</v>
      </c>
      <c r="K121" s="20">
        <v>0.216</v>
      </c>
      <c r="L121" s="20">
        <v>0.36</v>
      </c>
      <c r="M121" s="20">
        <v>0.216</v>
      </c>
      <c r="N121" s="20">
        <v>0.216</v>
      </c>
      <c r="O121" s="20">
        <v>0.12959999999999999</v>
      </c>
      <c r="P121" s="20">
        <v>7.7759999999999996E-2</v>
      </c>
      <c r="Q121" s="20">
        <v>7.7759999999999996E-2</v>
      </c>
      <c r="R121" s="20">
        <v>4.6655999999999996E-2</v>
      </c>
      <c r="S121" s="20">
        <v>0.216</v>
      </c>
      <c r="T121" s="20">
        <v>0.12959999999999999</v>
      </c>
      <c r="U121" s="20">
        <v>0.12959999999999999</v>
      </c>
      <c r="V121" s="20">
        <v>7.7759999999999996E-2</v>
      </c>
      <c r="W121" s="20">
        <v>7.7759999999999996E-2</v>
      </c>
      <c r="X121" s="20">
        <v>7.7759999999999996E-2</v>
      </c>
      <c r="Y121" s="20">
        <v>4.6655999999999996E-2</v>
      </c>
      <c r="Z121" s="20">
        <v>4.6655999999999996E-2</v>
      </c>
      <c r="AA121" s="20">
        <v>4.6655999999999996E-2</v>
      </c>
      <c r="AB121" s="20">
        <v>4.6655999999999996E-2</v>
      </c>
      <c r="AC121" s="20">
        <v>2.7993599999999997E-2</v>
      </c>
      <c r="AD121" s="20">
        <v>2.7993599999999997E-2</v>
      </c>
      <c r="AE121" s="20">
        <v>2.7993599999999997E-2</v>
      </c>
      <c r="AF121" s="20">
        <v>0.12959999999999999</v>
      </c>
      <c r="AG121" s="20">
        <v>0.216</v>
      </c>
      <c r="AH121" s="20">
        <v>0.36</v>
      </c>
      <c r="AI121" s="20">
        <v>0.6</v>
      </c>
      <c r="AJ121" s="20">
        <v>0.36</v>
      </c>
      <c r="AK121" s="20">
        <v>0.12959999999999999</v>
      </c>
      <c r="AL121" s="20">
        <v>0.216</v>
      </c>
      <c r="AM121" s="20">
        <v>0.36</v>
      </c>
      <c r="AN121" s="20">
        <v>0.36</v>
      </c>
      <c r="AO121" s="20">
        <v>7.7759999999999996E-2</v>
      </c>
      <c r="AP121" s="20">
        <v>0.12959999999999999</v>
      </c>
      <c r="AQ121" s="20">
        <v>0.12959999999999999</v>
      </c>
      <c r="AR121" s="20">
        <v>7.7759999999999996E-2</v>
      </c>
      <c r="AS121" s="20">
        <v>4.6655999999999996E-2</v>
      </c>
      <c r="AT121" s="20">
        <v>4.6655999999999996E-2</v>
      </c>
      <c r="AU121" s="20">
        <v>2.7993599999999997E-2</v>
      </c>
    </row>
    <row r="122" spans="1:49" ht="14.45" x14ac:dyDescent="0.3">
      <c r="A122" t="s">
        <v>33</v>
      </c>
      <c r="F122" s="20">
        <v>0.6</v>
      </c>
      <c r="G122" s="20">
        <v>1</v>
      </c>
      <c r="H122" s="20">
        <v>0.6</v>
      </c>
      <c r="I122" s="20">
        <v>0.6</v>
      </c>
      <c r="J122" s="20">
        <v>0.6</v>
      </c>
      <c r="K122" s="20">
        <v>0.36</v>
      </c>
      <c r="L122" s="20">
        <v>0.36</v>
      </c>
      <c r="M122" s="20">
        <v>0.36</v>
      </c>
      <c r="N122" s="20">
        <v>0.216</v>
      </c>
      <c r="O122" s="20">
        <v>0.12959999999999999</v>
      </c>
      <c r="P122" s="20">
        <v>7.7759999999999996E-2</v>
      </c>
      <c r="Q122" s="20">
        <v>7.7759999999999996E-2</v>
      </c>
      <c r="R122" s="20">
        <v>4.6655999999999996E-2</v>
      </c>
      <c r="S122" s="20">
        <v>0.36</v>
      </c>
      <c r="T122" s="20">
        <v>0.216</v>
      </c>
      <c r="U122" s="20">
        <v>0.216</v>
      </c>
      <c r="V122" s="20">
        <v>0.12959999999999999</v>
      </c>
      <c r="W122" s="20">
        <v>0.12959999999999999</v>
      </c>
      <c r="X122" s="20">
        <v>0.12959999999999999</v>
      </c>
      <c r="Y122" s="20">
        <v>7.7759999999999996E-2</v>
      </c>
      <c r="Z122" s="20">
        <v>7.7759999999999996E-2</v>
      </c>
      <c r="AA122" s="20">
        <v>4.6655999999999996E-2</v>
      </c>
      <c r="AB122" s="20">
        <v>4.6655999999999996E-2</v>
      </c>
      <c r="AC122" s="20">
        <v>4.6655999999999996E-2</v>
      </c>
      <c r="AD122" s="20">
        <v>2.7993599999999997E-2</v>
      </c>
      <c r="AE122" s="20">
        <v>2.7993599999999997E-2</v>
      </c>
      <c r="AF122" s="20">
        <v>7.7759999999999996E-2</v>
      </c>
      <c r="AG122" s="20">
        <v>0.12959999999999999</v>
      </c>
      <c r="AH122" s="20">
        <v>0.216</v>
      </c>
      <c r="AI122" s="20">
        <v>0.36</v>
      </c>
      <c r="AJ122" s="20">
        <v>0.216</v>
      </c>
      <c r="AK122" s="20">
        <v>7.7759999999999996E-2</v>
      </c>
      <c r="AL122" s="20">
        <v>0.12959999999999999</v>
      </c>
      <c r="AM122" s="20">
        <v>0.216</v>
      </c>
      <c r="AN122" s="20">
        <v>0.216</v>
      </c>
      <c r="AO122" s="20">
        <v>7.7759999999999996E-2</v>
      </c>
      <c r="AP122" s="20">
        <v>7.7759999999999996E-2</v>
      </c>
      <c r="AQ122" s="20">
        <v>7.7759999999999996E-2</v>
      </c>
      <c r="AR122" s="20">
        <v>4.6655999999999996E-2</v>
      </c>
      <c r="AS122" s="20">
        <v>2.7993599999999997E-2</v>
      </c>
      <c r="AT122" s="20">
        <v>2.7993599999999997E-2</v>
      </c>
      <c r="AU122" s="20">
        <v>1.6796159999999997E-2</v>
      </c>
    </row>
    <row r="123" spans="1:49" ht="14.45" x14ac:dyDescent="0.3">
      <c r="A123" t="s">
        <v>34</v>
      </c>
      <c r="F123" s="20">
        <v>0.36</v>
      </c>
      <c r="G123" s="20">
        <v>0.6</v>
      </c>
      <c r="H123" s="20">
        <v>1</v>
      </c>
      <c r="I123" s="20">
        <v>0.36</v>
      </c>
      <c r="J123" s="20">
        <v>0.6</v>
      </c>
      <c r="K123" s="20">
        <v>0.6</v>
      </c>
      <c r="L123" s="20">
        <v>0.36</v>
      </c>
      <c r="M123" s="20">
        <v>0.36</v>
      </c>
      <c r="N123" s="20">
        <v>0.216</v>
      </c>
      <c r="O123" s="20">
        <v>0.12959999999999999</v>
      </c>
      <c r="P123" s="20">
        <v>7.7759999999999996E-2</v>
      </c>
      <c r="Q123" s="20">
        <v>7.7759999999999996E-2</v>
      </c>
      <c r="R123" s="20">
        <v>4.6655999999999996E-2</v>
      </c>
      <c r="S123" s="20">
        <v>0.6</v>
      </c>
      <c r="T123" s="20">
        <v>0.36</v>
      </c>
      <c r="U123" s="20">
        <v>0.36</v>
      </c>
      <c r="V123" s="20">
        <v>0.216</v>
      </c>
      <c r="W123" s="20">
        <v>0.216</v>
      </c>
      <c r="X123" s="20">
        <v>0.216</v>
      </c>
      <c r="Y123" s="20">
        <v>0.12959999999999999</v>
      </c>
      <c r="Z123" s="20">
        <v>0.12959999999999999</v>
      </c>
      <c r="AA123" s="20">
        <v>7.7759999999999996E-2</v>
      </c>
      <c r="AB123" s="20">
        <v>7.7759999999999996E-2</v>
      </c>
      <c r="AC123" s="20">
        <v>7.7759999999999996E-2</v>
      </c>
      <c r="AD123" s="20">
        <v>4.6655999999999996E-2</v>
      </c>
      <c r="AE123" s="20">
        <v>4.6655999999999996E-2</v>
      </c>
      <c r="AF123" s="20">
        <v>0.12959999999999999</v>
      </c>
      <c r="AG123" s="20">
        <v>7.7759999999999996E-2</v>
      </c>
      <c r="AH123" s="20">
        <v>0.12959999999999999</v>
      </c>
      <c r="AI123" s="20">
        <v>0.216</v>
      </c>
      <c r="AJ123" s="20">
        <v>0.12959999999999999</v>
      </c>
      <c r="AK123" s="20">
        <v>0.12959999999999999</v>
      </c>
      <c r="AL123" s="20">
        <v>7.7759999999999996E-2</v>
      </c>
      <c r="AM123" s="20">
        <v>0.12959999999999999</v>
      </c>
      <c r="AN123" s="20">
        <v>0.12959999999999999</v>
      </c>
      <c r="AO123" s="20">
        <v>0.12959999999999999</v>
      </c>
      <c r="AP123" s="20">
        <v>7.7759999999999996E-2</v>
      </c>
      <c r="AQ123" s="20">
        <v>4.6655999999999996E-2</v>
      </c>
      <c r="AR123" s="20">
        <v>2.7993599999999997E-2</v>
      </c>
      <c r="AS123" s="20">
        <v>1.6796159999999997E-2</v>
      </c>
      <c r="AT123" s="20">
        <v>1.6796159999999997E-2</v>
      </c>
      <c r="AU123" s="20">
        <v>1.0077695999999999E-2</v>
      </c>
    </row>
    <row r="124" spans="1:49" ht="14.45" x14ac:dyDescent="0.3">
      <c r="A124" t="s">
        <v>35</v>
      </c>
      <c r="F124" s="20">
        <v>0.6</v>
      </c>
      <c r="G124" s="20">
        <v>0.6</v>
      </c>
      <c r="H124" s="20">
        <v>0.36</v>
      </c>
      <c r="I124" s="20">
        <v>1</v>
      </c>
      <c r="J124" s="20">
        <v>0.6</v>
      </c>
      <c r="K124" s="20">
        <v>0.36</v>
      </c>
      <c r="L124" s="20">
        <v>0.6</v>
      </c>
      <c r="M124" s="20">
        <v>0.36</v>
      </c>
      <c r="N124" s="20">
        <v>0.36</v>
      </c>
      <c r="O124" s="20">
        <v>0.216</v>
      </c>
      <c r="P124" s="20">
        <v>0.12959999999999999</v>
      </c>
      <c r="Q124" s="20">
        <v>0.12959999999999999</v>
      </c>
      <c r="R124" s="20">
        <v>7.7759999999999996E-2</v>
      </c>
      <c r="S124" s="20">
        <v>0.216</v>
      </c>
      <c r="T124" s="20">
        <v>0.12959999999999999</v>
      </c>
      <c r="U124" s="20">
        <v>0.12959999999999999</v>
      </c>
      <c r="V124" s="20">
        <v>7.7759999999999996E-2</v>
      </c>
      <c r="W124" s="20">
        <v>7.7759999999999996E-2</v>
      </c>
      <c r="X124" s="20">
        <v>7.7759999999999996E-2</v>
      </c>
      <c r="Y124" s="20">
        <v>4.6655999999999996E-2</v>
      </c>
      <c r="Z124" s="20">
        <v>7.7759999999999996E-2</v>
      </c>
      <c r="AA124" s="20">
        <v>4.6655999999999996E-2</v>
      </c>
      <c r="AB124" s="20">
        <v>4.6655999999999996E-2</v>
      </c>
      <c r="AC124" s="20">
        <v>4.6655999999999996E-2</v>
      </c>
      <c r="AD124" s="20">
        <v>2.7993599999999997E-2</v>
      </c>
      <c r="AE124" s="20">
        <v>2.7993599999999997E-2</v>
      </c>
      <c r="AF124" s="20">
        <v>7.7759999999999996E-2</v>
      </c>
      <c r="AG124" s="20">
        <v>0.12959999999999999</v>
      </c>
      <c r="AH124" s="20">
        <v>0.216</v>
      </c>
      <c r="AI124" s="20">
        <v>0.36</v>
      </c>
      <c r="AJ124" s="20">
        <v>0.216</v>
      </c>
      <c r="AK124" s="20">
        <v>7.7759999999999996E-2</v>
      </c>
      <c r="AL124" s="20">
        <v>0.12959999999999999</v>
      </c>
      <c r="AM124" s="20">
        <v>0.216</v>
      </c>
      <c r="AN124" s="20">
        <v>0.216</v>
      </c>
      <c r="AO124" s="20">
        <v>4.6655999999999996E-2</v>
      </c>
      <c r="AP124" s="20">
        <v>7.7759999999999996E-2</v>
      </c>
      <c r="AQ124" s="20">
        <v>7.7759999999999996E-2</v>
      </c>
      <c r="AR124" s="20">
        <v>4.6655999999999996E-2</v>
      </c>
      <c r="AS124" s="20">
        <v>2.7993599999999997E-2</v>
      </c>
      <c r="AT124" s="20">
        <v>2.7993599999999997E-2</v>
      </c>
      <c r="AU124" s="20">
        <v>1.6796159999999997E-2</v>
      </c>
    </row>
    <row r="125" spans="1:49" ht="14.45" x14ac:dyDescent="0.3">
      <c r="A125" t="s">
        <v>36</v>
      </c>
      <c r="F125" s="20">
        <v>0.36</v>
      </c>
      <c r="G125" s="20">
        <v>0.6</v>
      </c>
      <c r="H125" s="20">
        <v>0.6</v>
      </c>
      <c r="I125" s="20">
        <v>0.6</v>
      </c>
      <c r="J125" s="20">
        <v>1</v>
      </c>
      <c r="K125" s="20">
        <v>0.6</v>
      </c>
      <c r="L125" s="20">
        <v>0.6</v>
      </c>
      <c r="M125" s="20">
        <v>0.6</v>
      </c>
      <c r="N125" s="20">
        <v>0.36</v>
      </c>
      <c r="O125" s="20">
        <v>0.216</v>
      </c>
      <c r="P125" s="20">
        <v>0.12959999999999999</v>
      </c>
      <c r="Q125" s="20">
        <v>0.12959999999999999</v>
      </c>
      <c r="R125" s="20">
        <v>7.7759999999999996E-2</v>
      </c>
      <c r="S125" s="20">
        <v>0.36</v>
      </c>
      <c r="T125" s="20">
        <v>0.216</v>
      </c>
      <c r="U125" s="20">
        <v>0.216</v>
      </c>
      <c r="V125" s="20">
        <v>0.12959999999999999</v>
      </c>
      <c r="W125" s="20">
        <v>0.12959999999999999</v>
      </c>
      <c r="X125" s="20">
        <v>0.12959999999999999</v>
      </c>
      <c r="Y125" s="20">
        <v>7.7759999999999996E-2</v>
      </c>
      <c r="Z125" s="20">
        <v>7.7759999999999996E-2</v>
      </c>
      <c r="AA125" s="20">
        <v>4.6655999999999996E-2</v>
      </c>
      <c r="AB125" s="20">
        <v>4.6655999999999996E-2</v>
      </c>
      <c r="AC125" s="20">
        <v>4.6655999999999996E-2</v>
      </c>
      <c r="AD125" s="20">
        <v>2.7993599999999997E-2</v>
      </c>
      <c r="AE125" s="20">
        <v>2.7993599999999997E-2</v>
      </c>
      <c r="AF125" s="20">
        <v>7.7759999999999996E-2</v>
      </c>
      <c r="AG125" s="20">
        <v>7.7759999999999996E-2</v>
      </c>
      <c r="AH125" s="20">
        <v>0.12959999999999999</v>
      </c>
      <c r="AI125" s="20">
        <v>0.216</v>
      </c>
      <c r="AJ125" s="20">
        <v>0.12959999999999999</v>
      </c>
      <c r="AK125" s="20">
        <v>7.7759999999999996E-2</v>
      </c>
      <c r="AL125" s="20">
        <v>7.7759999999999996E-2</v>
      </c>
      <c r="AM125" s="20">
        <v>0.12959999999999999</v>
      </c>
      <c r="AN125" s="20">
        <v>0.12959999999999999</v>
      </c>
      <c r="AO125" s="20">
        <v>7.7759999999999996E-2</v>
      </c>
      <c r="AP125" s="20">
        <v>4.6655999999999996E-2</v>
      </c>
      <c r="AQ125" s="20">
        <v>4.6655999999999996E-2</v>
      </c>
      <c r="AR125" s="20">
        <v>2.7993599999999997E-2</v>
      </c>
      <c r="AS125" s="20">
        <v>1.6796159999999997E-2</v>
      </c>
      <c r="AT125" s="20">
        <v>1.6796159999999997E-2</v>
      </c>
      <c r="AU125" s="20">
        <v>1.0077695999999999E-2</v>
      </c>
    </row>
    <row r="126" spans="1:49" ht="14.45" x14ac:dyDescent="0.3">
      <c r="A126" t="s">
        <v>37</v>
      </c>
      <c r="F126" s="20">
        <v>0.216</v>
      </c>
      <c r="G126" s="20">
        <v>0.36</v>
      </c>
      <c r="H126" s="20">
        <v>0.6</v>
      </c>
      <c r="I126" s="20">
        <v>0.36</v>
      </c>
      <c r="J126" s="20">
        <v>0.6</v>
      </c>
      <c r="K126" s="20">
        <v>1</v>
      </c>
      <c r="L126" s="20">
        <v>0.36</v>
      </c>
      <c r="M126" s="20">
        <v>0.6</v>
      </c>
      <c r="N126" s="20">
        <v>0.36</v>
      </c>
      <c r="O126" s="20">
        <v>0.216</v>
      </c>
      <c r="P126" s="20">
        <v>0.12959999999999999</v>
      </c>
      <c r="Q126" s="20">
        <v>0.12959999999999999</v>
      </c>
      <c r="R126" s="20">
        <v>7.7759999999999996E-2</v>
      </c>
      <c r="S126" s="20">
        <v>0.36</v>
      </c>
      <c r="T126" s="20">
        <v>0.216</v>
      </c>
      <c r="U126" s="20">
        <v>0.216</v>
      </c>
      <c r="V126" s="20">
        <v>0.12959999999999999</v>
      </c>
      <c r="W126" s="20">
        <v>0.12959999999999999</v>
      </c>
      <c r="X126" s="20">
        <v>0.12959999999999999</v>
      </c>
      <c r="Y126" s="20">
        <v>7.7759999999999996E-2</v>
      </c>
      <c r="Z126" s="20">
        <v>7.7759999999999996E-2</v>
      </c>
      <c r="AA126" s="20">
        <v>4.6655999999999996E-2</v>
      </c>
      <c r="AB126" s="20">
        <v>4.6655999999999996E-2</v>
      </c>
      <c r="AC126" s="20">
        <v>4.6655999999999996E-2</v>
      </c>
      <c r="AD126" s="20">
        <v>2.7993599999999997E-2</v>
      </c>
      <c r="AE126" s="20">
        <v>2.7993599999999997E-2</v>
      </c>
      <c r="AF126" s="20">
        <v>7.7759999999999996E-2</v>
      </c>
      <c r="AG126" s="20">
        <v>4.6655999999999996E-2</v>
      </c>
      <c r="AH126" s="20">
        <v>7.7759999999999996E-2</v>
      </c>
      <c r="AI126" s="20">
        <v>0.12959999999999999</v>
      </c>
      <c r="AJ126" s="20">
        <v>7.7759999999999996E-2</v>
      </c>
      <c r="AK126" s="20">
        <v>7.7759999999999996E-2</v>
      </c>
      <c r="AL126" s="20">
        <v>4.6655999999999996E-2</v>
      </c>
      <c r="AM126" s="20">
        <v>7.7759999999999996E-2</v>
      </c>
      <c r="AN126" s="20">
        <v>7.7759999999999996E-2</v>
      </c>
      <c r="AO126" s="20">
        <v>7.7759999999999996E-2</v>
      </c>
      <c r="AP126" s="20">
        <v>4.6655999999999996E-2</v>
      </c>
      <c r="AQ126" s="20">
        <v>2.7993599999999997E-2</v>
      </c>
      <c r="AR126" s="20">
        <v>1.6796159999999997E-2</v>
      </c>
      <c r="AS126" s="20">
        <v>1.0077695999999999E-2</v>
      </c>
      <c r="AT126" s="20">
        <v>1.0077695999999999E-2</v>
      </c>
      <c r="AU126" s="20">
        <v>6.0466175999999991E-3</v>
      </c>
    </row>
    <row r="127" spans="1:49" ht="14.45" x14ac:dyDescent="0.3">
      <c r="A127" t="s">
        <v>22</v>
      </c>
      <c r="F127" s="20">
        <v>0.36</v>
      </c>
      <c r="G127" s="20">
        <v>0.36</v>
      </c>
      <c r="H127" s="20">
        <v>0.36</v>
      </c>
      <c r="I127" s="20">
        <v>0.6</v>
      </c>
      <c r="J127" s="20">
        <v>0.6</v>
      </c>
      <c r="K127" s="20">
        <v>0.36</v>
      </c>
      <c r="L127" s="20">
        <v>1</v>
      </c>
      <c r="M127" s="20">
        <v>0.6</v>
      </c>
      <c r="N127" s="20">
        <v>0.6</v>
      </c>
      <c r="O127" s="20">
        <v>0.36</v>
      </c>
      <c r="P127" s="20">
        <v>0.216</v>
      </c>
      <c r="Q127" s="20">
        <v>0.216</v>
      </c>
      <c r="R127" s="20">
        <v>0.12959999999999999</v>
      </c>
      <c r="S127" s="20">
        <v>0.216</v>
      </c>
      <c r="T127" s="20">
        <v>0.12959999999999999</v>
      </c>
      <c r="U127" s="20">
        <v>0.12959999999999999</v>
      </c>
      <c r="V127" s="20">
        <v>7.7759999999999996E-2</v>
      </c>
      <c r="W127" s="20">
        <v>7.7759999999999996E-2</v>
      </c>
      <c r="X127" s="20">
        <v>7.7759999999999996E-2</v>
      </c>
      <c r="Y127" s="20">
        <v>7.7759999999999996E-2</v>
      </c>
      <c r="Z127" s="20">
        <v>0.12959999999999999</v>
      </c>
      <c r="AA127" s="20">
        <v>7.7759999999999996E-2</v>
      </c>
      <c r="AB127" s="20">
        <v>7.7759999999999996E-2</v>
      </c>
      <c r="AC127" s="20">
        <v>7.7759999999999996E-2</v>
      </c>
      <c r="AD127" s="20">
        <v>4.6655999999999996E-2</v>
      </c>
      <c r="AE127" s="20">
        <v>4.6655999999999996E-2</v>
      </c>
      <c r="AF127" s="20">
        <v>4.6655999999999996E-2</v>
      </c>
      <c r="AG127" s="20">
        <v>7.7759999999999996E-2</v>
      </c>
      <c r="AH127" s="20">
        <v>0.12959999999999999</v>
      </c>
      <c r="AI127" s="20">
        <v>0.216</v>
      </c>
      <c r="AJ127" s="20">
        <v>0.12959999999999999</v>
      </c>
      <c r="AK127" s="20">
        <v>4.6655999999999996E-2</v>
      </c>
      <c r="AL127" s="20">
        <v>7.7759999999999996E-2</v>
      </c>
      <c r="AM127" s="20">
        <v>0.12959999999999999</v>
      </c>
      <c r="AN127" s="20">
        <v>0.12959999999999999</v>
      </c>
      <c r="AO127" s="20">
        <v>4.6655999999999996E-2</v>
      </c>
      <c r="AP127" s="20">
        <v>4.6655999999999996E-2</v>
      </c>
      <c r="AQ127" s="20">
        <v>4.6655999999999996E-2</v>
      </c>
      <c r="AR127" s="20">
        <v>2.7993599999999997E-2</v>
      </c>
      <c r="AS127" s="20">
        <v>1.6796159999999997E-2</v>
      </c>
      <c r="AT127" s="20">
        <v>1.6796159999999997E-2</v>
      </c>
      <c r="AU127" s="20">
        <v>1.0077695999999999E-2</v>
      </c>
    </row>
    <row r="128" spans="1:49" ht="14.45" x14ac:dyDescent="0.3">
      <c r="A128" t="s">
        <v>38</v>
      </c>
      <c r="F128" s="20">
        <v>0.216</v>
      </c>
      <c r="G128" s="20">
        <v>0.36</v>
      </c>
      <c r="H128" s="20">
        <v>0.36</v>
      </c>
      <c r="I128" s="20">
        <v>0.36</v>
      </c>
      <c r="J128" s="20">
        <v>0.6</v>
      </c>
      <c r="K128" s="20">
        <v>0.6</v>
      </c>
      <c r="L128" s="20">
        <v>0.6</v>
      </c>
      <c r="M128" s="20">
        <v>1</v>
      </c>
      <c r="N128" s="20">
        <v>0.6</v>
      </c>
      <c r="O128" s="20">
        <v>0.36</v>
      </c>
      <c r="P128" s="20">
        <v>0.216</v>
      </c>
      <c r="Q128" s="20">
        <v>0.216</v>
      </c>
      <c r="R128" s="20">
        <v>0.12959999999999999</v>
      </c>
      <c r="S128" s="20">
        <v>0.216</v>
      </c>
      <c r="T128" s="20">
        <v>0.12959999999999999</v>
      </c>
      <c r="U128" s="20">
        <v>0.12959999999999999</v>
      </c>
      <c r="V128" s="20">
        <v>7.7759999999999996E-2</v>
      </c>
      <c r="W128" s="20">
        <v>7.7759999999999996E-2</v>
      </c>
      <c r="X128" s="20">
        <v>7.7759999999999996E-2</v>
      </c>
      <c r="Y128" s="20">
        <v>7.7759999999999996E-2</v>
      </c>
      <c r="Z128" s="20">
        <v>0.12959999999999999</v>
      </c>
      <c r="AA128" s="20">
        <v>7.7759999999999996E-2</v>
      </c>
      <c r="AB128" s="20">
        <v>7.7759999999999996E-2</v>
      </c>
      <c r="AC128" s="20">
        <v>7.7759999999999996E-2</v>
      </c>
      <c r="AD128" s="20">
        <v>4.6655999999999996E-2</v>
      </c>
      <c r="AE128" s="20">
        <v>4.6655999999999996E-2</v>
      </c>
      <c r="AF128" s="20">
        <v>4.6655999999999996E-2</v>
      </c>
      <c r="AG128" s="20">
        <v>4.6655999999999996E-2</v>
      </c>
      <c r="AH128" s="20">
        <v>7.7759999999999996E-2</v>
      </c>
      <c r="AI128" s="20">
        <v>0.12959999999999999</v>
      </c>
      <c r="AJ128" s="20">
        <v>7.7759999999999996E-2</v>
      </c>
      <c r="AK128" s="20">
        <v>4.6655999999999996E-2</v>
      </c>
      <c r="AL128" s="20">
        <v>4.6655999999999996E-2</v>
      </c>
      <c r="AM128" s="20">
        <v>7.7759999999999996E-2</v>
      </c>
      <c r="AN128" s="20">
        <v>7.7759999999999996E-2</v>
      </c>
      <c r="AO128" s="20">
        <v>4.6655999999999996E-2</v>
      </c>
      <c r="AP128" s="20">
        <v>2.7993599999999997E-2</v>
      </c>
      <c r="AQ128" s="20">
        <v>2.7993599999999997E-2</v>
      </c>
      <c r="AR128" s="20">
        <v>1.6796159999999997E-2</v>
      </c>
      <c r="AS128" s="20">
        <v>1.0077695999999999E-2</v>
      </c>
      <c r="AT128" s="20">
        <v>1.0077695999999999E-2</v>
      </c>
      <c r="AU128" s="20">
        <v>6.0466175999999991E-3</v>
      </c>
    </row>
    <row r="129" spans="1:47" ht="14.45" x14ac:dyDescent="0.3">
      <c r="A129" t="s">
        <v>39</v>
      </c>
      <c r="F129" s="20">
        <v>0.216</v>
      </c>
      <c r="G129" s="20">
        <v>0.216</v>
      </c>
      <c r="H129" s="20">
        <v>0.216</v>
      </c>
      <c r="I129" s="20">
        <v>0.36</v>
      </c>
      <c r="J129" s="20">
        <v>0.36</v>
      </c>
      <c r="K129" s="20">
        <v>0.36</v>
      </c>
      <c r="L129" s="20">
        <v>0.6</v>
      </c>
      <c r="M129" s="20">
        <v>0.6</v>
      </c>
      <c r="N129" s="20">
        <v>1</v>
      </c>
      <c r="O129" s="20">
        <v>0.6</v>
      </c>
      <c r="P129" s="20">
        <v>0.36</v>
      </c>
      <c r="Q129" s="20">
        <v>0.36</v>
      </c>
      <c r="R129" s="20">
        <v>0.216</v>
      </c>
      <c r="S129" s="20">
        <v>0.12959999999999999</v>
      </c>
      <c r="T129" s="20">
        <v>7.7759999999999996E-2</v>
      </c>
      <c r="U129" s="20">
        <v>7.7759999999999996E-2</v>
      </c>
      <c r="V129" s="20">
        <v>7.7759999999999996E-2</v>
      </c>
      <c r="W129" s="20">
        <v>0.12959999999999999</v>
      </c>
      <c r="X129" s="20">
        <v>7.7759999999999996E-2</v>
      </c>
      <c r="Y129" s="20">
        <v>0.12959999999999999</v>
      </c>
      <c r="Z129" s="20">
        <v>0.216</v>
      </c>
      <c r="AA129" s="20">
        <v>0.12959999999999999</v>
      </c>
      <c r="AB129" s="20">
        <v>0.12959999999999999</v>
      </c>
      <c r="AC129" s="20">
        <v>0.12959999999999999</v>
      </c>
      <c r="AD129" s="20">
        <v>7.7759999999999996E-2</v>
      </c>
      <c r="AE129" s="20">
        <v>7.7759999999999996E-2</v>
      </c>
      <c r="AF129" s="20">
        <v>4.6655999999999996E-2</v>
      </c>
      <c r="AG129" s="20">
        <v>4.6655999999999996E-2</v>
      </c>
      <c r="AH129" s="20">
        <v>7.7759999999999996E-2</v>
      </c>
      <c r="AI129" s="20">
        <v>0.12959999999999999</v>
      </c>
      <c r="AJ129" s="20">
        <v>7.7759999999999996E-2</v>
      </c>
      <c r="AK129" s="20">
        <v>4.6655999999999996E-2</v>
      </c>
      <c r="AL129" s="20">
        <v>4.6655999999999996E-2</v>
      </c>
      <c r="AM129" s="20">
        <v>7.7759999999999996E-2</v>
      </c>
      <c r="AN129" s="20">
        <v>7.7759999999999996E-2</v>
      </c>
      <c r="AO129" s="20">
        <v>7.7759999999999996E-2</v>
      </c>
      <c r="AP129" s="20">
        <v>4.6655999999999996E-2</v>
      </c>
      <c r="AQ129" s="20">
        <v>2.7993599999999997E-2</v>
      </c>
      <c r="AR129" s="20">
        <v>1.6796159999999997E-2</v>
      </c>
      <c r="AS129" s="20">
        <v>1.0077695999999999E-2</v>
      </c>
      <c r="AT129" s="20">
        <v>1.0077695999999999E-2</v>
      </c>
      <c r="AU129" s="20">
        <v>6.0466175999999991E-3</v>
      </c>
    </row>
    <row r="130" spans="1:47" ht="14.45" x14ac:dyDescent="0.3">
      <c r="A130" t="s">
        <v>40</v>
      </c>
      <c r="F130" s="20">
        <v>0.12959999999999999</v>
      </c>
      <c r="G130" s="20">
        <v>0.12959999999999999</v>
      </c>
      <c r="H130" s="20">
        <v>0.12959999999999999</v>
      </c>
      <c r="I130" s="20">
        <v>0.216</v>
      </c>
      <c r="J130" s="20">
        <v>0.216</v>
      </c>
      <c r="K130" s="20">
        <v>0.216</v>
      </c>
      <c r="L130" s="20">
        <v>0.36</v>
      </c>
      <c r="M130" s="20">
        <v>0.36</v>
      </c>
      <c r="N130" s="20">
        <v>0.6</v>
      </c>
      <c r="O130" s="20">
        <v>1</v>
      </c>
      <c r="P130" s="20">
        <v>0.6</v>
      </c>
      <c r="Q130" s="20">
        <v>0.6</v>
      </c>
      <c r="R130" s="20">
        <v>0.36</v>
      </c>
      <c r="S130" s="20">
        <v>7.7759999999999996E-2</v>
      </c>
      <c r="T130" s="20">
        <v>0.12959999999999999</v>
      </c>
      <c r="U130" s="20">
        <v>7.7759999999999996E-2</v>
      </c>
      <c r="V130" s="20">
        <v>0.12959999999999999</v>
      </c>
      <c r="W130" s="20">
        <v>0.216</v>
      </c>
      <c r="X130" s="20">
        <v>0.12959999999999999</v>
      </c>
      <c r="Y130" s="20">
        <v>0.216</v>
      </c>
      <c r="Z130" s="20">
        <v>0.36</v>
      </c>
      <c r="AA130" s="20">
        <v>0.216</v>
      </c>
      <c r="AB130" s="20">
        <v>0.216</v>
      </c>
      <c r="AC130" s="20">
        <v>0.216</v>
      </c>
      <c r="AD130" s="20">
        <v>0.12959999999999999</v>
      </c>
      <c r="AE130" s="20">
        <v>0.12959999999999999</v>
      </c>
      <c r="AF130" s="20">
        <v>7.7759999999999996E-2</v>
      </c>
      <c r="AG130" s="20">
        <v>4.6655999999999996E-2</v>
      </c>
      <c r="AH130" s="20">
        <v>4.6655999999999996E-2</v>
      </c>
      <c r="AI130" s="20">
        <v>7.7759999999999996E-2</v>
      </c>
      <c r="AJ130" s="20">
        <v>4.6655999999999996E-2</v>
      </c>
      <c r="AK130" s="20">
        <v>7.7759999999999996E-2</v>
      </c>
      <c r="AL130" s="20">
        <v>4.6655999999999996E-2</v>
      </c>
      <c r="AM130" s="20">
        <v>4.6655999999999996E-2</v>
      </c>
      <c r="AN130" s="20">
        <v>4.6655999999999996E-2</v>
      </c>
      <c r="AO130" s="20">
        <v>0.12959999999999999</v>
      </c>
      <c r="AP130" s="20">
        <v>7.7759999999999996E-2</v>
      </c>
      <c r="AQ130" s="20">
        <v>4.6655999999999996E-2</v>
      </c>
      <c r="AR130" s="20">
        <v>2.7993599999999997E-2</v>
      </c>
      <c r="AS130" s="20">
        <v>1.6796159999999997E-2</v>
      </c>
      <c r="AT130" s="20">
        <v>1.6796159999999997E-2</v>
      </c>
      <c r="AU130" s="20">
        <v>1.0077695999999999E-2</v>
      </c>
    </row>
    <row r="131" spans="1:47" ht="14.45" x14ac:dyDescent="0.3">
      <c r="A131" t="s">
        <v>41</v>
      </c>
      <c r="F131" s="20">
        <v>7.7759999999999996E-2</v>
      </c>
      <c r="G131" s="20">
        <v>7.7759999999999996E-2</v>
      </c>
      <c r="H131" s="20">
        <v>7.7759999999999996E-2</v>
      </c>
      <c r="I131" s="20">
        <v>0.12959999999999999</v>
      </c>
      <c r="J131" s="20">
        <v>0.12959999999999999</v>
      </c>
      <c r="K131" s="20">
        <v>0.12959999999999999</v>
      </c>
      <c r="L131" s="20">
        <v>0.216</v>
      </c>
      <c r="M131" s="20">
        <v>0.216</v>
      </c>
      <c r="N131" s="20">
        <v>0.36</v>
      </c>
      <c r="O131" s="20">
        <v>0.6</v>
      </c>
      <c r="P131" s="20">
        <v>1</v>
      </c>
      <c r="Q131" s="20">
        <v>0.6</v>
      </c>
      <c r="R131" s="20">
        <v>0.6</v>
      </c>
      <c r="S131" s="20">
        <v>7.7759999999999996E-2</v>
      </c>
      <c r="T131" s="20">
        <v>0.12959999999999999</v>
      </c>
      <c r="U131" s="20">
        <v>7.7759999999999996E-2</v>
      </c>
      <c r="V131" s="20">
        <v>0.12959999999999999</v>
      </c>
      <c r="W131" s="20">
        <v>0.216</v>
      </c>
      <c r="X131" s="20">
        <v>0.12959999999999999</v>
      </c>
      <c r="Y131" s="20">
        <v>0.216</v>
      </c>
      <c r="Z131" s="20">
        <v>0.36</v>
      </c>
      <c r="AA131" s="20">
        <v>0.216</v>
      </c>
      <c r="AB131" s="20">
        <v>0.216</v>
      </c>
      <c r="AC131" s="20">
        <v>0.216</v>
      </c>
      <c r="AD131" s="20">
        <v>0.12959999999999999</v>
      </c>
      <c r="AE131" s="20">
        <v>0.12959999999999999</v>
      </c>
      <c r="AF131" s="20">
        <v>7.7759999999999996E-2</v>
      </c>
      <c r="AG131" s="20">
        <v>4.6655999999999996E-2</v>
      </c>
      <c r="AH131" s="20">
        <v>2.7993599999999997E-2</v>
      </c>
      <c r="AI131" s="20">
        <v>4.6655999999999996E-2</v>
      </c>
      <c r="AJ131" s="20">
        <v>2.7993599999999997E-2</v>
      </c>
      <c r="AK131" s="20">
        <v>7.7759999999999996E-2</v>
      </c>
      <c r="AL131" s="20">
        <v>4.6655999999999996E-2</v>
      </c>
      <c r="AM131" s="20">
        <v>2.7993599999999997E-2</v>
      </c>
      <c r="AN131" s="20">
        <v>2.7993599999999997E-2</v>
      </c>
      <c r="AO131" s="20">
        <v>0.12959999999999999</v>
      </c>
      <c r="AP131" s="20">
        <v>7.7759999999999996E-2</v>
      </c>
      <c r="AQ131" s="20">
        <v>4.6655999999999996E-2</v>
      </c>
      <c r="AR131" s="20">
        <v>2.7993599999999997E-2</v>
      </c>
      <c r="AS131" s="20">
        <v>1.6796159999999997E-2</v>
      </c>
      <c r="AT131" s="20">
        <v>1.6796159999999997E-2</v>
      </c>
      <c r="AU131" s="20">
        <v>1.0077695999999999E-2</v>
      </c>
    </row>
    <row r="132" spans="1:47" ht="14.45" x14ac:dyDescent="0.3">
      <c r="A132" t="s">
        <v>42</v>
      </c>
      <c r="F132" s="20">
        <v>7.7759999999999996E-2</v>
      </c>
      <c r="G132" s="20">
        <v>7.7759999999999996E-2</v>
      </c>
      <c r="H132" s="20">
        <v>7.7759999999999996E-2</v>
      </c>
      <c r="I132" s="20">
        <v>0.12959999999999999</v>
      </c>
      <c r="J132" s="20">
        <v>0.12959999999999999</v>
      </c>
      <c r="K132" s="20">
        <v>0.12959999999999999</v>
      </c>
      <c r="L132" s="20">
        <v>0.216</v>
      </c>
      <c r="M132" s="20">
        <v>0.216</v>
      </c>
      <c r="N132" s="20">
        <v>0.36</v>
      </c>
      <c r="O132" s="20">
        <v>0.6</v>
      </c>
      <c r="P132" s="20">
        <v>0.6</v>
      </c>
      <c r="Q132" s="20">
        <v>1</v>
      </c>
      <c r="R132" s="20">
        <v>0.6</v>
      </c>
      <c r="S132" s="20">
        <v>0.12959999999999999</v>
      </c>
      <c r="T132" s="20">
        <v>0.216</v>
      </c>
      <c r="U132" s="20">
        <v>0.12959999999999999</v>
      </c>
      <c r="V132" s="20">
        <v>0.216</v>
      </c>
      <c r="W132" s="20">
        <v>0.36</v>
      </c>
      <c r="X132" s="20">
        <v>0.216</v>
      </c>
      <c r="Y132" s="20">
        <v>0.36</v>
      </c>
      <c r="Z132" s="20">
        <v>0.6</v>
      </c>
      <c r="AA132" s="20">
        <v>0.36</v>
      </c>
      <c r="AB132" s="20">
        <v>0.36</v>
      </c>
      <c r="AC132" s="20">
        <v>0.36</v>
      </c>
      <c r="AD132" s="20">
        <v>0.216</v>
      </c>
      <c r="AE132" s="20">
        <v>0.216</v>
      </c>
      <c r="AF132" s="20">
        <v>0.12959999999999999</v>
      </c>
      <c r="AG132" s="20">
        <v>7.7759999999999996E-2</v>
      </c>
      <c r="AH132" s="20">
        <v>4.6655999999999996E-2</v>
      </c>
      <c r="AI132" s="20">
        <v>4.6655999999999996E-2</v>
      </c>
      <c r="AJ132" s="20">
        <v>4.6655999999999996E-2</v>
      </c>
      <c r="AK132" s="20">
        <v>0.12959999999999999</v>
      </c>
      <c r="AL132" s="20">
        <v>7.7759999999999996E-2</v>
      </c>
      <c r="AM132" s="20">
        <v>4.6655999999999996E-2</v>
      </c>
      <c r="AN132" s="20">
        <v>2.7993599999999997E-2</v>
      </c>
      <c r="AO132" s="20">
        <v>0.216</v>
      </c>
      <c r="AP132" s="20">
        <v>0.12959999999999999</v>
      </c>
      <c r="AQ132" s="20">
        <v>7.7759999999999996E-2</v>
      </c>
      <c r="AR132" s="20">
        <v>4.6655999999999996E-2</v>
      </c>
      <c r="AS132" s="20">
        <v>2.7993599999999997E-2</v>
      </c>
      <c r="AT132" s="20">
        <v>2.7993599999999997E-2</v>
      </c>
      <c r="AU132" s="20">
        <v>1.6796159999999997E-2</v>
      </c>
    </row>
    <row r="133" spans="1:47" ht="14.45" x14ac:dyDescent="0.3">
      <c r="A133" t="s">
        <v>43</v>
      </c>
      <c r="F133" s="20">
        <v>4.6655999999999996E-2</v>
      </c>
      <c r="G133" s="20">
        <v>4.6655999999999996E-2</v>
      </c>
      <c r="H133" s="20">
        <v>4.6655999999999996E-2</v>
      </c>
      <c r="I133" s="20">
        <v>7.7759999999999996E-2</v>
      </c>
      <c r="J133" s="20">
        <v>7.7759999999999996E-2</v>
      </c>
      <c r="K133" s="20">
        <v>7.7759999999999996E-2</v>
      </c>
      <c r="L133" s="20">
        <v>0.12959999999999999</v>
      </c>
      <c r="M133" s="20">
        <v>0.12959999999999999</v>
      </c>
      <c r="N133" s="20">
        <v>0.216</v>
      </c>
      <c r="O133" s="20">
        <v>0.36</v>
      </c>
      <c r="P133" s="20">
        <v>0.6</v>
      </c>
      <c r="Q133" s="20">
        <v>0.6</v>
      </c>
      <c r="R133" s="20">
        <v>1</v>
      </c>
      <c r="S133" s="20">
        <v>7.7759999999999996E-2</v>
      </c>
      <c r="T133" s="20">
        <v>0.12959999999999999</v>
      </c>
      <c r="U133" s="20">
        <v>7.7759999999999996E-2</v>
      </c>
      <c r="V133" s="20">
        <v>0.12959999999999999</v>
      </c>
      <c r="W133" s="20">
        <v>0.216</v>
      </c>
      <c r="X133" s="20">
        <v>0.12959999999999999</v>
      </c>
      <c r="Y133" s="20">
        <v>0.216</v>
      </c>
      <c r="Z133" s="20">
        <v>0.36</v>
      </c>
      <c r="AA133" s="20">
        <v>0.216</v>
      </c>
      <c r="AB133" s="20">
        <v>0.216</v>
      </c>
      <c r="AC133" s="20">
        <v>0.216</v>
      </c>
      <c r="AD133" s="20">
        <v>0.12959999999999999</v>
      </c>
      <c r="AE133" s="20">
        <v>0.12959999999999999</v>
      </c>
      <c r="AF133" s="20">
        <v>7.7759999999999996E-2</v>
      </c>
      <c r="AG133" s="20">
        <v>4.6655999999999996E-2</v>
      </c>
      <c r="AH133" s="20">
        <v>2.7993599999999997E-2</v>
      </c>
      <c r="AI133" s="20">
        <v>2.7993599999999997E-2</v>
      </c>
      <c r="AJ133" s="20">
        <v>2.7993599999999997E-2</v>
      </c>
      <c r="AK133" s="20">
        <v>7.7759999999999996E-2</v>
      </c>
      <c r="AL133" s="20">
        <v>4.6655999999999996E-2</v>
      </c>
      <c r="AM133" s="20">
        <v>2.7993599999999997E-2</v>
      </c>
      <c r="AN133" s="20">
        <v>1.6796159999999997E-2</v>
      </c>
      <c r="AO133" s="20">
        <v>0.12959999999999999</v>
      </c>
      <c r="AP133" s="20">
        <v>7.7759999999999996E-2</v>
      </c>
      <c r="AQ133" s="20">
        <v>4.6655999999999996E-2</v>
      </c>
      <c r="AR133" s="20">
        <v>2.7993599999999997E-2</v>
      </c>
      <c r="AS133" s="20">
        <v>1.6796159999999997E-2</v>
      </c>
      <c r="AT133" s="20">
        <v>1.6796159999999997E-2</v>
      </c>
      <c r="AU133" s="20">
        <v>1.0077695999999999E-2</v>
      </c>
    </row>
    <row r="134" spans="1:47" ht="14.45" x14ac:dyDescent="0.3">
      <c r="A134" t="s">
        <v>44</v>
      </c>
      <c r="F134" s="20">
        <v>0.216</v>
      </c>
      <c r="G134" s="20">
        <v>0.36</v>
      </c>
      <c r="H134" s="20">
        <v>0.6</v>
      </c>
      <c r="I134" s="20">
        <v>0.216</v>
      </c>
      <c r="J134" s="20">
        <v>0.36</v>
      </c>
      <c r="K134" s="20">
        <v>0.36</v>
      </c>
      <c r="L134" s="20">
        <v>0.216</v>
      </c>
      <c r="M134" s="20">
        <v>0.216</v>
      </c>
      <c r="N134" s="20">
        <v>0.12959999999999999</v>
      </c>
      <c r="O134" s="20">
        <v>7.7759999999999996E-2</v>
      </c>
      <c r="P134" s="20">
        <v>7.7759999999999996E-2</v>
      </c>
      <c r="Q134" s="20">
        <v>0.12959999999999999</v>
      </c>
      <c r="R134" s="20">
        <v>7.7759999999999996E-2</v>
      </c>
      <c r="S134" s="20">
        <v>1</v>
      </c>
      <c r="T134" s="20">
        <v>0.6</v>
      </c>
      <c r="U134" s="20">
        <v>0.6</v>
      </c>
      <c r="V134" s="20">
        <v>0.36</v>
      </c>
      <c r="W134" s="20">
        <v>0.36</v>
      </c>
      <c r="X134" s="20">
        <v>0.36</v>
      </c>
      <c r="Y134" s="20">
        <v>0.216</v>
      </c>
      <c r="Z134" s="20">
        <v>0.216</v>
      </c>
      <c r="AA134" s="20">
        <v>0.12959999999999999</v>
      </c>
      <c r="AB134" s="20">
        <v>0.12959999999999999</v>
      </c>
      <c r="AC134" s="20">
        <v>0.12959999999999999</v>
      </c>
      <c r="AD134" s="20">
        <v>7.7759999999999996E-2</v>
      </c>
      <c r="AE134" s="20">
        <v>7.7759999999999996E-2</v>
      </c>
      <c r="AF134" s="20">
        <v>0.216</v>
      </c>
      <c r="AG134" s="20">
        <v>0.12959999999999999</v>
      </c>
      <c r="AH134" s="20">
        <v>7.7759999999999996E-2</v>
      </c>
      <c r="AI134" s="20">
        <v>0.12959999999999999</v>
      </c>
      <c r="AJ134" s="20">
        <v>7.7759999999999996E-2</v>
      </c>
      <c r="AK134" s="20">
        <v>0.216</v>
      </c>
      <c r="AL134" s="20">
        <v>0.12959999999999999</v>
      </c>
      <c r="AM134" s="20">
        <v>7.7759999999999996E-2</v>
      </c>
      <c r="AN134" s="20">
        <v>7.7759999999999996E-2</v>
      </c>
      <c r="AO134" s="20">
        <v>0.216</v>
      </c>
      <c r="AP134" s="20">
        <v>0.12959999999999999</v>
      </c>
      <c r="AQ134" s="20">
        <v>7.7759999999999996E-2</v>
      </c>
      <c r="AR134" s="20">
        <v>4.6655999999999996E-2</v>
      </c>
      <c r="AS134" s="20">
        <v>2.7993599999999997E-2</v>
      </c>
      <c r="AT134" s="20">
        <v>2.7993599999999997E-2</v>
      </c>
      <c r="AU134" s="20">
        <v>1.6796159999999997E-2</v>
      </c>
    </row>
    <row r="135" spans="1:47" ht="14.45" x14ac:dyDescent="0.3">
      <c r="A135" t="s">
        <v>45</v>
      </c>
      <c r="F135" s="20">
        <v>0.12959999999999999</v>
      </c>
      <c r="G135" s="20">
        <v>0.216</v>
      </c>
      <c r="H135" s="20">
        <v>0.36</v>
      </c>
      <c r="I135" s="20">
        <v>0.12959999999999999</v>
      </c>
      <c r="J135" s="20">
        <v>0.216</v>
      </c>
      <c r="K135" s="20">
        <v>0.216</v>
      </c>
      <c r="L135" s="20">
        <v>0.12959999999999999</v>
      </c>
      <c r="M135" s="20">
        <v>0.12959999999999999</v>
      </c>
      <c r="N135" s="20">
        <v>7.7759999999999996E-2</v>
      </c>
      <c r="O135" s="20">
        <v>0.12959999999999999</v>
      </c>
      <c r="P135" s="20">
        <v>0.12959999999999999</v>
      </c>
      <c r="Q135" s="20">
        <v>0.216</v>
      </c>
      <c r="R135" s="20">
        <v>0.12959999999999999</v>
      </c>
      <c r="S135" s="20">
        <v>0.6</v>
      </c>
      <c r="T135" s="20">
        <v>1</v>
      </c>
      <c r="U135" s="20">
        <v>0.6</v>
      </c>
      <c r="V135" s="20">
        <v>0.36</v>
      </c>
      <c r="W135" s="20">
        <v>0.6</v>
      </c>
      <c r="X135" s="20">
        <v>0.6</v>
      </c>
      <c r="Y135" s="20">
        <v>0.36</v>
      </c>
      <c r="Z135" s="20">
        <v>0.36</v>
      </c>
      <c r="AA135" s="20">
        <v>0.216</v>
      </c>
      <c r="AB135" s="20">
        <v>0.216</v>
      </c>
      <c r="AC135" s="20">
        <v>0.216</v>
      </c>
      <c r="AD135" s="20">
        <v>0.12959999999999999</v>
      </c>
      <c r="AE135" s="20">
        <v>0.12959999999999999</v>
      </c>
      <c r="AF135" s="20">
        <v>0.216</v>
      </c>
      <c r="AG135" s="20">
        <v>0.12959999999999999</v>
      </c>
      <c r="AH135" s="20">
        <v>7.7759999999999996E-2</v>
      </c>
      <c r="AI135" s="20">
        <v>7.7759999999999996E-2</v>
      </c>
      <c r="AJ135" s="20">
        <v>7.7759999999999996E-2</v>
      </c>
      <c r="AK135" s="20">
        <v>0.216</v>
      </c>
      <c r="AL135" s="20">
        <v>0.12959999999999999</v>
      </c>
      <c r="AM135" s="20">
        <v>7.7759999999999996E-2</v>
      </c>
      <c r="AN135" s="20">
        <v>4.6655999999999996E-2</v>
      </c>
      <c r="AO135" s="20">
        <v>0.216</v>
      </c>
      <c r="AP135" s="20">
        <v>0.12959999999999999</v>
      </c>
      <c r="AQ135" s="20">
        <v>7.7759999999999996E-2</v>
      </c>
      <c r="AR135" s="20">
        <v>4.6655999999999996E-2</v>
      </c>
      <c r="AS135" s="20">
        <v>2.7993599999999997E-2</v>
      </c>
      <c r="AT135" s="20">
        <v>2.7993599999999997E-2</v>
      </c>
      <c r="AU135" s="20">
        <v>1.6796159999999997E-2</v>
      </c>
    </row>
    <row r="136" spans="1:47" ht="14.45" x14ac:dyDescent="0.3">
      <c r="A136" t="s">
        <v>34</v>
      </c>
      <c r="F136" s="20">
        <v>0.12959999999999999</v>
      </c>
      <c r="G136" s="20">
        <v>0.216</v>
      </c>
      <c r="H136" s="20">
        <v>0.36</v>
      </c>
      <c r="I136" s="20">
        <v>0.12959999999999999</v>
      </c>
      <c r="J136" s="20">
        <v>0.216</v>
      </c>
      <c r="K136" s="20">
        <v>0.216</v>
      </c>
      <c r="L136" s="20">
        <v>0.12959999999999999</v>
      </c>
      <c r="M136" s="20">
        <v>0.12959999999999999</v>
      </c>
      <c r="N136" s="20">
        <v>7.7759999999999996E-2</v>
      </c>
      <c r="O136" s="20">
        <v>7.7759999999999996E-2</v>
      </c>
      <c r="P136" s="20">
        <v>7.7759999999999996E-2</v>
      </c>
      <c r="Q136" s="20">
        <v>0.12959999999999999</v>
      </c>
      <c r="R136" s="20">
        <v>7.7759999999999996E-2</v>
      </c>
      <c r="S136" s="20">
        <v>0.6</v>
      </c>
      <c r="T136" s="20">
        <v>0.6</v>
      </c>
      <c r="U136" s="20">
        <v>1</v>
      </c>
      <c r="V136" s="20">
        <v>0.6</v>
      </c>
      <c r="W136" s="20">
        <v>0.36</v>
      </c>
      <c r="X136" s="20">
        <v>0.36</v>
      </c>
      <c r="Y136" s="20">
        <v>0.36</v>
      </c>
      <c r="Z136" s="20">
        <v>0.216</v>
      </c>
      <c r="AA136" s="20">
        <v>0.216</v>
      </c>
      <c r="AB136" s="20">
        <v>0.216</v>
      </c>
      <c r="AC136" s="20">
        <v>0.12959999999999999</v>
      </c>
      <c r="AD136" s="20">
        <v>0.12959999999999999</v>
      </c>
      <c r="AE136" s="20">
        <v>0.12959999999999999</v>
      </c>
      <c r="AF136" s="20">
        <v>0.36</v>
      </c>
      <c r="AG136" s="20">
        <v>0.216</v>
      </c>
      <c r="AH136" s="20">
        <v>0.12959999999999999</v>
      </c>
      <c r="AI136" s="20">
        <v>7.7759999999999996E-2</v>
      </c>
      <c r="AJ136" s="20">
        <v>0.12959999999999999</v>
      </c>
      <c r="AK136" s="20">
        <v>0.36</v>
      </c>
      <c r="AL136" s="20">
        <v>0.216</v>
      </c>
      <c r="AM136" s="20">
        <v>0.12959999999999999</v>
      </c>
      <c r="AN136" s="20">
        <v>7.7759999999999996E-2</v>
      </c>
      <c r="AO136" s="20">
        <v>0.36</v>
      </c>
      <c r="AP136" s="20">
        <v>0.216</v>
      </c>
      <c r="AQ136" s="20">
        <v>0.12959999999999999</v>
      </c>
      <c r="AR136" s="20">
        <v>7.7759999999999996E-2</v>
      </c>
      <c r="AS136" s="20">
        <v>4.6655999999999996E-2</v>
      </c>
      <c r="AT136" s="20">
        <v>4.6655999999999996E-2</v>
      </c>
      <c r="AU136" s="20">
        <v>2.7993599999999997E-2</v>
      </c>
    </row>
    <row r="137" spans="1:47" ht="14.45" x14ac:dyDescent="0.3">
      <c r="A137" t="s">
        <v>46</v>
      </c>
      <c r="F137" s="20">
        <v>7.7759999999999996E-2</v>
      </c>
      <c r="G137" s="20">
        <v>0.12959999999999999</v>
      </c>
      <c r="H137" s="20">
        <v>0.216</v>
      </c>
      <c r="I137" s="20">
        <v>7.7759999999999996E-2</v>
      </c>
      <c r="J137" s="20">
        <v>0.12959999999999999</v>
      </c>
      <c r="K137" s="20">
        <v>0.12959999999999999</v>
      </c>
      <c r="L137" s="20">
        <v>7.7759999999999996E-2</v>
      </c>
      <c r="M137" s="20">
        <v>7.7759999999999996E-2</v>
      </c>
      <c r="N137" s="20">
        <v>7.7759999999999996E-2</v>
      </c>
      <c r="O137" s="20">
        <v>0.12959999999999999</v>
      </c>
      <c r="P137" s="20">
        <v>0.12959999999999999</v>
      </c>
      <c r="Q137" s="20">
        <v>0.216</v>
      </c>
      <c r="R137" s="20">
        <v>0.12959999999999999</v>
      </c>
      <c r="S137" s="20">
        <v>0.36</v>
      </c>
      <c r="T137" s="20">
        <v>0.36</v>
      </c>
      <c r="U137" s="20">
        <v>0.6</v>
      </c>
      <c r="V137" s="20">
        <v>1</v>
      </c>
      <c r="W137" s="20">
        <v>0.36</v>
      </c>
      <c r="X137" s="20">
        <v>0.6</v>
      </c>
      <c r="Y137" s="20">
        <v>0.6</v>
      </c>
      <c r="Z137" s="20">
        <v>0.36</v>
      </c>
      <c r="AA137" s="20">
        <v>0.36</v>
      </c>
      <c r="AB137" s="20">
        <v>0.36</v>
      </c>
      <c r="AC137" s="20">
        <v>0.216</v>
      </c>
      <c r="AD137" s="20">
        <v>0.216</v>
      </c>
      <c r="AE137" s="20">
        <v>0.216</v>
      </c>
      <c r="AF137" s="20">
        <v>0.6</v>
      </c>
      <c r="AG137" s="20">
        <v>0.36</v>
      </c>
      <c r="AH137" s="20">
        <v>0.216</v>
      </c>
      <c r="AI137" s="20">
        <v>0.12959999999999999</v>
      </c>
      <c r="AJ137" s="20">
        <v>0.216</v>
      </c>
      <c r="AK137" s="20">
        <v>0.6</v>
      </c>
      <c r="AL137" s="20">
        <v>0.36</v>
      </c>
      <c r="AM137" s="20">
        <v>0.216</v>
      </c>
      <c r="AN137" s="20">
        <v>0.12959999999999999</v>
      </c>
      <c r="AO137" s="20">
        <v>0.6</v>
      </c>
      <c r="AP137" s="20">
        <v>0.36</v>
      </c>
      <c r="AQ137" s="20">
        <v>0.216</v>
      </c>
      <c r="AR137" s="20">
        <v>0.12959999999999999</v>
      </c>
      <c r="AS137" s="20">
        <v>7.7759999999999996E-2</v>
      </c>
      <c r="AT137" s="20">
        <v>7.7759999999999996E-2</v>
      </c>
      <c r="AU137" s="20">
        <v>4.6655999999999996E-2</v>
      </c>
    </row>
    <row r="138" spans="1:47" ht="14.45" x14ac:dyDescent="0.3">
      <c r="A138" t="s">
        <v>46</v>
      </c>
      <c r="F138" s="20">
        <v>7.7759999999999996E-2</v>
      </c>
      <c r="G138" s="20">
        <v>0.12959999999999999</v>
      </c>
      <c r="H138" s="20">
        <v>0.216</v>
      </c>
      <c r="I138" s="20">
        <v>7.7759999999999996E-2</v>
      </c>
      <c r="J138" s="20">
        <v>0.12959999999999999</v>
      </c>
      <c r="K138" s="20">
        <v>0.12959999999999999</v>
      </c>
      <c r="L138" s="20">
        <v>7.7759999999999996E-2</v>
      </c>
      <c r="M138" s="20">
        <v>7.7759999999999996E-2</v>
      </c>
      <c r="N138" s="20">
        <v>0.12959999999999999</v>
      </c>
      <c r="O138" s="20">
        <v>0.216</v>
      </c>
      <c r="P138" s="20">
        <v>0.216</v>
      </c>
      <c r="Q138" s="20">
        <v>0.36</v>
      </c>
      <c r="R138" s="20">
        <v>0.216</v>
      </c>
      <c r="S138" s="20">
        <v>0.36</v>
      </c>
      <c r="T138" s="20">
        <v>0.6</v>
      </c>
      <c r="U138" s="20">
        <v>0.36</v>
      </c>
      <c r="V138" s="20">
        <v>0.36</v>
      </c>
      <c r="W138" s="20">
        <v>1</v>
      </c>
      <c r="X138" s="20">
        <v>0.6</v>
      </c>
      <c r="Y138" s="20">
        <v>0.6</v>
      </c>
      <c r="Z138" s="20">
        <v>0.6</v>
      </c>
      <c r="AA138" s="20">
        <v>0.36</v>
      </c>
      <c r="AB138" s="20">
        <v>0.36</v>
      </c>
      <c r="AC138" s="20">
        <v>0.36</v>
      </c>
      <c r="AD138" s="20">
        <v>0.216</v>
      </c>
      <c r="AE138" s="20">
        <v>0.216</v>
      </c>
      <c r="AF138" s="20">
        <v>0.216</v>
      </c>
      <c r="AG138" s="20">
        <v>0.12959999999999999</v>
      </c>
      <c r="AH138" s="20">
        <v>7.7759999999999996E-2</v>
      </c>
      <c r="AI138" s="20">
        <v>4.6655999999999996E-2</v>
      </c>
      <c r="AJ138" s="20">
        <v>7.7759999999999996E-2</v>
      </c>
      <c r="AK138" s="20">
        <v>0.216</v>
      </c>
      <c r="AL138" s="20">
        <v>0.12959999999999999</v>
      </c>
      <c r="AM138" s="20">
        <v>7.7759999999999996E-2</v>
      </c>
      <c r="AN138" s="20">
        <v>4.6655999999999996E-2</v>
      </c>
      <c r="AO138" s="20">
        <v>0.36</v>
      </c>
      <c r="AP138" s="20">
        <v>0.216</v>
      </c>
      <c r="AQ138" s="20">
        <v>0.12959999999999999</v>
      </c>
      <c r="AR138" s="20">
        <v>7.7759999999999996E-2</v>
      </c>
      <c r="AS138" s="20">
        <v>4.6655999999999996E-2</v>
      </c>
      <c r="AT138" s="20">
        <v>4.6655999999999996E-2</v>
      </c>
      <c r="AU138" s="20">
        <v>2.7993599999999997E-2</v>
      </c>
    </row>
    <row r="139" spans="1:47" ht="14.45" x14ac:dyDescent="0.3">
      <c r="A139" t="s">
        <v>47</v>
      </c>
      <c r="F139" s="20">
        <v>7.7759999999999996E-2</v>
      </c>
      <c r="G139" s="20">
        <v>0.12959999999999999</v>
      </c>
      <c r="H139" s="20">
        <v>0.216</v>
      </c>
      <c r="I139" s="20">
        <v>7.7759999999999996E-2</v>
      </c>
      <c r="J139" s="20">
        <v>0.12959999999999999</v>
      </c>
      <c r="K139" s="20">
        <v>0.12959999999999999</v>
      </c>
      <c r="L139" s="20">
        <v>7.7759999999999996E-2</v>
      </c>
      <c r="M139" s="20">
        <v>7.7759999999999996E-2</v>
      </c>
      <c r="N139" s="20">
        <v>7.7759999999999996E-2</v>
      </c>
      <c r="O139" s="20">
        <v>0.12959999999999999</v>
      </c>
      <c r="P139" s="20">
        <v>0.12959999999999999</v>
      </c>
      <c r="Q139" s="20">
        <v>0.216</v>
      </c>
      <c r="R139" s="20">
        <v>0.12959999999999999</v>
      </c>
      <c r="S139" s="20">
        <v>0.36</v>
      </c>
      <c r="T139" s="20">
        <v>0.6</v>
      </c>
      <c r="U139" s="20">
        <v>0.36</v>
      </c>
      <c r="V139" s="20">
        <v>0.6</v>
      </c>
      <c r="W139" s="20">
        <v>0.6</v>
      </c>
      <c r="X139" s="20">
        <v>1</v>
      </c>
      <c r="Y139" s="20">
        <v>0.6</v>
      </c>
      <c r="Z139" s="20">
        <v>0.36</v>
      </c>
      <c r="AA139" s="20">
        <v>0.36</v>
      </c>
      <c r="AB139" s="20">
        <v>0.216</v>
      </c>
      <c r="AC139" s="20">
        <v>0.216</v>
      </c>
      <c r="AD139" s="20">
        <v>0.12959999999999999</v>
      </c>
      <c r="AE139" s="20">
        <v>0.12959999999999999</v>
      </c>
      <c r="AF139" s="20">
        <v>0.36</v>
      </c>
      <c r="AG139" s="20">
        <v>0.216</v>
      </c>
      <c r="AH139" s="20">
        <v>0.12959999999999999</v>
      </c>
      <c r="AI139" s="20">
        <v>7.7759999999999996E-2</v>
      </c>
      <c r="AJ139" s="20">
        <v>0.12959999999999999</v>
      </c>
      <c r="AK139" s="20">
        <v>0.36</v>
      </c>
      <c r="AL139" s="20">
        <v>0.216</v>
      </c>
      <c r="AM139" s="20">
        <v>0.12959999999999999</v>
      </c>
      <c r="AN139" s="20">
        <v>7.7759999999999996E-2</v>
      </c>
      <c r="AO139" s="20">
        <v>0.36</v>
      </c>
      <c r="AP139" s="20">
        <v>0.216</v>
      </c>
      <c r="AQ139" s="20">
        <v>0.12959999999999999</v>
      </c>
      <c r="AR139" s="20">
        <v>7.7759999999999996E-2</v>
      </c>
      <c r="AS139" s="20">
        <v>4.6655999999999996E-2</v>
      </c>
      <c r="AT139" s="20">
        <v>4.6655999999999996E-2</v>
      </c>
      <c r="AU139" s="20">
        <v>2.7993599999999997E-2</v>
      </c>
    </row>
    <row r="140" spans="1:47" ht="14.45" x14ac:dyDescent="0.3">
      <c r="F140" s="20">
        <v>4.6655999999999996E-2</v>
      </c>
      <c r="G140" s="20">
        <v>7.7759999999999996E-2</v>
      </c>
      <c r="H140" s="20">
        <v>0.12959999999999999</v>
      </c>
      <c r="I140" s="20">
        <v>4.6655999999999996E-2</v>
      </c>
      <c r="J140" s="20">
        <v>7.7759999999999996E-2</v>
      </c>
      <c r="K140" s="20">
        <v>7.7759999999999996E-2</v>
      </c>
      <c r="L140" s="20">
        <v>7.7759999999999996E-2</v>
      </c>
      <c r="M140" s="20">
        <v>7.7759999999999996E-2</v>
      </c>
      <c r="N140" s="20">
        <v>0.12959999999999999</v>
      </c>
      <c r="O140" s="20">
        <v>0.216</v>
      </c>
      <c r="P140" s="20">
        <v>0.216</v>
      </c>
      <c r="Q140" s="20">
        <v>0.36</v>
      </c>
      <c r="R140" s="20">
        <v>0.216</v>
      </c>
      <c r="S140" s="20">
        <v>0.216</v>
      </c>
      <c r="T140" s="20">
        <v>0.36</v>
      </c>
      <c r="U140" s="20">
        <v>0.36</v>
      </c>
      <c r="V140" s="20">
        <v>0.6</v>
      </c>
      <c r="W140" s="20">
        <v>0.6</v>
      </c>
      <c r="X140" s="20">
        <v>0.6</v>
      </c>
      <c r="Y140" s="20">
        <v>1</v>
      </c>
      <c r="Z140" s="20">
        <v>0.6</v>
      </c>
      <c r="AA140" s="20">
        <v>0.6</v>
      </c>
      <c r="AB140" s="20">
        <v>0.36</v>
      </c>
      <c r="AC140" s="20">
        <v>0.36</v>
      </c>
      <c r="AD140" s="20">
        <v>0.216</v>
      </c>
      <c r="AE140" s="20">
        <v>0.216</v>
      </c>
      <c r="AF140" s="20">
        <v>0.36</v>
      </c>
      <c r="AG140" s="20">
        <v>0.216</v>
      </c>
      <c r="AH140" s="20">
        <v>0.12959999999999999</v>
      </c>
      <c r="AI140" s="20">
        <v>7.7759999999999996E-2</v>
      </c>
      <c r="AJ140" s="20">
        <v>0.12959999999999999</v>
      </c>
      <c r="AK140" s="20">
        <v>0.36</v>
      </c>
      <c r="AL140" s="20">
        <v>0.216</v>
      </c>
      <c r="AM140" s="20">
        <v>0.12959999999999999</v>
      </c>
      <c r="AN140" s="20">
        <v>7.7759999999999996E-2</v>
      </c>
      <c r="AO140" s="20">
        <v>0.6</v>
      </c>
      <c r="AP140" s="20">
        <v>0.36</v>
      </c>
      <c r="AQ140" s="20">
        <v>0.216</v>
      </c>
      <c r="AR140" s="20">
        <v>0.12959999999999999</v>
      </c>
      <c r="AS140" s="20">
        <v>7.7759999999999996E-2</v>
      </c>
      <c r="AT140" s="20">
        <v>7.7759999999999996E-2</v>
      </c>
      <c r="AU140" s="20">
        <v>4.6655999999999996E-2</v>
      </c>
    </row>
    <row r="141" spans="1:47" ht="14.45" x14ac:dyDescent="0.3">
      <c r="F141" s="20">
        <v>4.6655999999999996E-2</v>
      </c>
      <c r="G141" s="20">
        <v>7.7759999999999996E-2</v>
      </c>
      <c r="H141" s="20">
        <v>0.12959999999999999</v>
      </c>
      <c r="I141" s="20">
        <v>7.7759999999999996E-2</v>
      </c>
      <c r="J141" s="20">
        <v>7.7759999999999996E-2</v>
      </c>
      <c r="K141" s="20">
        <v>7.7759999999999996E-2</v>
      </c>
      <c r="L141" s="20">
        <v>0.12959999999999999</v>
      </c>
      <c r="M141" s="20">
        <v>0.12959999999999999</v>
      </c>
      <c r="N141" s="20">
        <v>0.216</v>
      </c>
      <c r="O141" s="20">
        <v>0.36</v>
      </c>
      <c r="P141" s="20">
        <v>0.36</v>
      </c>
      <c r="Q141" s="20">
        <v>0.6</v>
      </c>
      <c r="R141" s="20">
        <v>0.36</v>
      </c>
      <c r="S141" s="20">
        <v>0.216</v>
      </c>
      <c r="T141" s="20">
        <v>0.36</v>
      </c>
      <c r="U141" s="20">
        <v>0.216</v>
      </c>
      <c r="V141" s="20">
        <v>0.36</v>
      </c>
      <c r="W141" s="20">
        <v>0.6</v>
      </c>
      <c r="X141" s="20">
        <v>0.36</v>
      </c>
      <c r="Y141" s="20">
        <v>0.6</v>
      </c>
      <c r="Z141" s="20">
        <v>1</v>
      </c>
      <c r="AA141" s="20">
        <v>0.6</v>
      </c>
      <c r="AB141" s="20">
        <v>0.6</v>
      </c>
      <c r="AC141" s="20">
        <v>0.6</v>
      </c>
      <c r="AD141" s="20">
        <v>0.36</v>
      </c>
      <c r="AE141" s="20">
        <v>0.36</v>
      </c>
      <c r="AF141" s="20">
        <v>0.216</v>
      </c>
      <c r="AG141" s="20">
        <v>0.12959999999999999</v>
      </c>
      <c r="AH141" s="20">
        <v>7.7759999999999996E-2</v>
      </c>
      <c r="AI141" s="20">
        <v>4.6655999999999996E-2</v>
      </c>
      <c r="AJ141" s="20">
        <v>7.7759999999999996E-2</v>
      </c>
      <c r="AK141" s="20">
        <v>0.216</v>
      </c>
      <c r="AL141" s="20">
        <v>0.12959999999999999</v>
      </c>
      <c r="AM141" s="20">
        <v>7.7759999999999996E-2</v>
      </c>
      <c r="AN141" s="20">
        <v>4.6655999999999996E-2</v>
      </c>
      <c r="AO141" s="20">
        <v>0.36</v>
      </c>
      <c r="AP141" s="20">
        <v>0.216</v>
      </c>
      <c r="AQ141" s="20">
        <v>0.12959999999999999</v>
      </c>
      <c r="AR141" s="20">
        <v>7.7759999999999996E-2</v>
      </c>
      <c r="AS141" s="20">
        <v>4.6655999999999996E-2</v>
      </c>
      <c r="AT141" s="20">
        <v>4.6655999999999996E-2</v>
      </c>
      <c r="AU141" s="20">
        <v>2.7993599999999997E-2</v>
      </c>
    </row>
    <row r="142" spans="1:47" ht="14.45" x14ac:dyDescent="0.3">
      <c r="F142" s="20">
        <v>4.6655999999999996E-2</v>
      </c>
      <c r="G142" s="20">
        <v>4.6655999999999996E-2</v>
      </c>
      <c r="H142" s="20">
        <v>7.7759999999999996E-2</v>
      </c>
      <c r="I142" s="20">
        <v>4.6655999999999996E-2</v>
      </c>
      <c r="J142" s="20">
        <v>4.6655999999999996E-2</v>
      </c>
      <c r="K142" s="20">
        <v>4.6655999999999996E-2</v>
      </c>
      <c r="L142" s="20">
        <v>7.7759999999999996E-2</v>
      </c>
      <c r="M142" s="20">
        <v>7.7759999999999996E-2</v>
      </c>
      <c r="N142" s="20">
        <v>0.12959999999999999</v>
      </c>
      <c r="O142" s="20">
        <v>0.216</v>
      </c>
      <c r="P142" s="20">
        <v>0.216</v>
      </c>
      <c r="Q142" s="20">
        <v>0.36</v>
      </c>
      <c r="R142" s="20">
        <v>0.216</v>
      </c>
      <c r="S142" s="20">
        <v>0.12959999999999999</v>
      </c>
      <c r="T142" s="20">
        <v>0.216</v>
      </c>
      <c r="U142" s="20">
        <v>0.216</v>
      </c>
      <c r="V142" s="20">
        <v>0.36</v>
      </c>
      <c r="W142" s="20">
        <v>0.36</v>
      </c>
      <c r="X142" s="20">
        <v>0.36</v>
      </c>
      <c r="Y142" s="20">
        <v>0.6</v>
      </c>
      <c r="Z142" s="20">
        <v>0.6</v>
      </c>
      <c r="AA142" s="20">
        <v>1</v>
      </c>
      <c r="AB142" s="20">
        <v>0.6</v>
      </c>
      <c r="AC142" s="20">
        <v>0.36</v>
      </c>
      <c r="AD142" s="20">
        <v>0.36</v>
      </c>
      <c r="AE142" s="20">
        <v>0.36</v>
      </c>
      <c r="AF142" s="20">
        <v>0.216</v>
      </c>
      <c r="AG142" s="20">
        <v>0.12959999999999999</v>
      </c>
      <c r="AH142" s="20">
        <v>7.7759999999999996E-2</v>
      </c>
      <c r="AI142" s="20">
        <v>7.7759999999999996E-2</v>
      </c>
      <c r="AJ142" s="20">
        <v>7.7759999999999996E-2</v>
      </c>
      <c r="AK142" s="20">
        <v>0.36</v>
      </c>
      <c r="AL142" s="20">
        <v>0.216</v>
      </c>
      <c r="AM142" s="20">
        <v>0.12959999999999999</v>
      </c>
      <c r="AN142" s="20">
        <v>7.7759999999999996E-2</v>
      </c>
      <c r="AO142" s="20">
        <v>0.6</v>
      </c>
      <c r="AP142" s="20">
        <v>0.36</v>
      </c>
      <c r="AQ142" s="20">
        <v>0.216</v>
      </c>
      <c r="AR142" s="20">
        <v>0.12959999999999999</v>
      </c>
      <c r="AS142" s="20">
        <v>7.7759999999999996E-2</v>
      </c>
      <c r="AT142" s="20">
        <v>7.7759999999999996E-2</v>
      </c>
      <c r="AU142" s="20">
        <v>4.6655999999999996E-2</v>
      </c>
    </row>
    <row r="143" spans="1:47" ht="14.45" x14ac:dyDescent="0.3">
      <c r="F143" s="20">
        <v>4.6655999999999996E-2</v>
      </c>
      <c r="G143" s="20">
        <v>4.6655999999999996E-2</v>
      </c>
      <c r="H143" s="20">
        <v>7.7759999999999996E-2</v>
      </c>
      <c r="I143" s="20">
        <v>4.6655999999999996E-2</v>
      </c>
      <c r="J143" s="20">
        <v>4.6655999999999996E-2</v>
      </c>
      <c r="K143" s="20">
        <v>4.6655999999999996E-2</v>
      </c>
      <c r="L143" s="20">
        <v>7.7759999999999996E-2</v>
      </c>
      <c r="M143" s="20">
        <v>7.7759999999999996E-2</v>
      </c>
      <c r="N143" s="20">
        <v>0.12959999999999999</v>
      </c>
      <c r="O143" s="20">
        <v>0.216</v>
      </c>
      <c r="P143" s="20">
        <v>0.216</v>
      </c>
      <c r="Q143" s="20">
        <v>0.36</v>
      </c>
      <c r="R143" s="20">
        <v>0.216</v>
      </c>
      <c r="S143" s="20">
        <v>0.12959999999999999</v>
      </c>
      <c r="T143" s="20">
        <v>0.216</v>
      </c>
      <c r="U143" s="20">
        <v>0.216</v>
      </c>
      <c r="V143" s="20">
        <v>0.36</v>
      </c>
      <c r="W143" s="20">
        <v>0.36</v>
      </c>
      <c r="X143" s="20">
        <v>0.216</v>
      </c>
      <c r="Y143" s="20">
        <v>0.36</v>
      </c>
      <c r="Z143" s="20">
        <v>0.6</v>
      </c>
      <c r="AA143" s="20">
        <v>0.6</v>
      </c>
      <c r="AB143" s="20">
        <v>1</v>
      </c>
      <c r="AC143" s="20">
        <v>0.6</v>
      </c>
      <c r="AD143" s="20">
        <v>0.6</v>
      </c>
      <c r="AE143" s="20">
        <v>0.6</v>
      </c>
      <c r="AF143" s="20">
        <v>0.216</v>
      </c>
      <c r="AG143" s="20">
        <v>0.12959999999999999</v>
      </c>
      <c r="AH143" s="20">
        <v>7.7759999999999996E-2</v>
      </c>
      <c r="AI143" s="20">
        <v>7.7759999999999996E-2</v>
      </c>
      <c r="AJ143" s="20">
        <v>7.7759999999999996E-2</v>
      </c>
      <c r="AK143" s="20">
        <v>0.36</v>
      </c>
      <c r="AL143" s="20">
        <v>0.216</v>
      </c>
      <c r="AM143" s="20">
        <v>0.12959999999999999</v>
      </c>
      <c r="AN143" s="20">
        <v>7.7759999999999996E-2</v>
      </c>
      <c r="AO143" s="20">
        <v>0.6</v>
      </c>
      <c r="AP143" s="20">
        <v>0.36</v>
      </c>
      <c r="AQ143" s="20">
        <v>0.216</v>
      </c>
      <c r="AR143" s="20">
        <v>0.12959999999999999</v>
      </c>
      <c r="AS143" s="20">
        <v>7.7759999999999996E-2</v>
      </c>
      <c r="AT143" s="20">
        <v>7.7759999999999996E-2</v>
      </c>
      <c r="AU143" s="20">
        <v>4.6655999999999996E-2</v>
      </c>
    </row>
    <row r="144" spans="1:47" x14ac:dyDescent="0.25">
      <c r="F144" s="20">
        <v>2.7993599999999997E-2</v>
      </c>
      <c r="G144" s="20">
        <v>4.6655999999999996E-2</v>
      </c>
      <c r="H144" s="20">
        <v>7.7759999999999996E-2</v>
      </c>
      <c r="I144" s="20">
        <v>4.6655999999999996E-2</v>
      </c>
      <c r="J144" s="20">
        <v>4.6655999999999996E-2</v>
      </c>
      <c r="K144" s="20">
        <v>4.6655999999999996E-2</v>
      </c>
      <c r="L144" s="20">
        <v>7.7759999999999996E-2</v>
      </c>
      <c r="M144" s="20">
        <v>7.7759999999999996E-2</v>
      </c>
      <c r="N144" s="20">
        <v>0.12959999999999999</v>
      </c>
      <c r="O144" s="20">
        <v>0.216</v>
      </c>
      <c r="P144" s="20">
        <v>0.216</v>
      </c>
      <c r="Q144" s="20">
        <v>0.36</v>
      </c>
      <c r="R144" s="20">
        <v>0.216</v>
      </c>
      <c r="S144" s="20">
        <v>0.12959999999999999</v>
      </c>
      <c r="T144" s="20">
        <v>0.216</v>
      </c>
      <c r="U144" s="20">
        <v>0.12959999999999999</v>
      </c>
      <c r="V144" s="20">
        <v>0.216</v>
      </c>
      <c r="W144" s="20">
        <v>0.36</v>
      </c>
      <c r="X144" s="20">
        <v>0.216</v>
      </c>
      <c r="Y144" s="20">
        <v>0.36</v>
      </c>
      <c r="Z144" s="20">
        <v>0.6</v>
      </c>
      <c r="AA144" s="20">
        <v>0.36</v>
      </c>
      <c r="AB144" s="20">
        <v>0.6</v>
      </c>
      <c r="AC144" s="20">
        <v>1</v>
      </c>
      <c r="AD144" s="20">
        <v>0.6</v>
      </c>
      <c r="AE144" s="20">
        <v>0.36</v>
      </c>
      <c r="AF144" s="20">
        <v>0.12959999999999999</v>
      </c>
      <c r="AG144" s="20">
        <v>7.7759999999999996E-2</v>
      </c>
      <c r="AH144" s="20">
        <v>4.6655999999999996E-2</v>
      </c>
      <c r="AI144" s="20">
        <v>4.6655999999999996E-2</v>
      </c>
      <c r="AJ144" s="20">
        <v>4.6655999999999996E-2</v>
      </c>
      <c r="AK144" s="20">
        <v>0.216</v>
      </c>
      <c r="AL144" s="20">
        <v>0.12959999999999999</v>
      </c>
      <c r="AM144" s="20">
        <v>7.7759999999999996E-2</v>
      </c>
      <c r="AN144" s="20">
        <v>4.6655999999999996E-2</v>
      </c>
      <c r="AO144" s="20">
        <v>0.36</v>
      </c>
      <c r="AP144" s="20">
        <v>0.216</v>
      </c>
      <c r="AQ144" s="20">
        <v>0.12959999999999999</v>
      </c>
      <c r="AR144" s="20">
        <v>7.7759999999999996E-2</v>
      </c>
      <c r="AS144" s="20">
        <v>4.6655999999999996E-2</v>
      </c>
      <c r="AT144" s="20">
        <v>4.6655999999999996E-2</v>
      </c>
      <c r="AU144" s="20">
        <v>2.7993599999999997E-2</v>
      </c>
    </row>
    <row r="145" spans="6:47" x14ac:dyDescent="0.25">
      <c r="F145" s="20">
        <v>2.7993599999999997E-2</v>
      </c>
      <c r="G145" s="20">
        <v>2.7993599999999997E-2</v>
      </c>
      <c r="H145" s="20">
        <v>4.6655999999999996E-2</v>
      </c>
      <c r="I145" s="20">
        <v>2.7993599999999997E-2</v>
      </c>
      <c r="J145" s="20">
        <v>2.7993599999999997E-2</v>
      </c>
      <c r="K145" s="20">
        <v>2.7993599999999997E-2</v>
      </c>
      <c r="L145" s="20">
        <v>4.6655999999999996E-2</v>
      </c>
      <c r="M145" s="20">
        <v>4.6655999999999996E-2</v>
      </c>
      <c r="N145" s="20">
        <v>7.7759999999999996E-2</v>
      </c>
      <c r="O145" s="20">
        <v>0.12959999999999999</v>
      </c>
      <c r="P145" s="20">
        <v>0.12959999999999999</v>
      </c>
      <c r="Q145" s="20">
        <v>0.216</v>
      </c>
      <c r="R145" s="20">
        <v>0.12959999999999999</v>
      </c>
      <c r="S145" s="20">
        <v>7.7759999999999996E-2</v>
      </c>
      <c r="T145" s="20">
        <v>0.12959999999999999</v>
      </c>
      <c r="U145" s="20">
        <v>0.12959999999999999</v>
      </c>
      <c r="V145" s="20">
        <v>0.216</v>
      </c>
      <c r="W145" s="20">
        <v>0.216</v>
      </c>
      <c r="X145" s="20">
        <v>0.12959999999999999</v>
      </c>
      <c r="Y145" s="20">
        <v>0.216</v>
      </c>
      <c r="Z145" s="20">
        <v>0.36</v>
      </c>
      <c r="AA145" s="20">
        <v>0.36</v>
      </c>
      <c r="AB145" s="20">
        <v>0.6</v>
      </c>
      <c r="AC145" s="20">
        <v>0.6</v>
      </c>
      <c r="AD145" s="20">
        <v>1</v>
      </c>
      <c r="AE145" s="20">
        <v>0.6</v>
      </c>
      <c r="AF145" s="20">
        <v>0.12959999999999999</v>
      </c>
      <c r="AG145" s="20">
        <v>7.7759999999999996E-2</v>
      </c>
      <c r="AH145" s="20">
        <v>4.6655999999999996E-2</v>
      </c>
      <c r="AI145" s="20">
        <v>4.6655999999999996E-2</v>
      </c>
      <c r="AJ145" s="20">
        <v>4.6655999999999996E-2</v>
      </c>
      <c r="AK145" s="20">
        <v>0.216</v>
      </c>
      <c r="AL145" s="20">
        <v>0.12959999999999999</v>
      </c>
      <c r="AM145" s="20">
        <v>7.7759999999999996E-2</v>
      </c>
      <c r="AN145" s="20">
        <v>4.6655999999999996E-2</v>
      </c>
      <c r="AO145" s="20">
        <v>0.36</v>
      </c>
      <c r="AP145" s="20">
        <v>0.216</v>
      </c>
      <c r="AQ145" s="20">
        <v>0.12959999999999999</v>
      </c>
      <c r="AR145" s="20">
        <v>7.7759999999999996E-2</v>
      </c>
      <c r="AS145" s="20">
        <v>4.6655999999999996E-2</v>
      </c>
      <c r="AT145" s="20">
        <v>4.6655999999999996E-2</v>
      </c>
      <c r="AU145" s="20">
        <v>2.7993599999999997E-2</v>
      </c>
    </row>
    <row r="146" spans="6:47" x14ac:dyDescent="0.25">
      <c r="F146" s="20">
        <v>2.7993599999999997E-2</v>
      </c>
      <c r="G146" s="20">
        <v>2.7993599999999997E-2</v>
      </c>
      <c r="H146" s="20">
        <v>4.6655999999999996E-2</v>
      </c>
      <c r="I146" s="20">
        <v>2.7993599999999997E-2</v>
      </c>
      <c r="J146" s="20">
        <v>2.7993599999999997E-2</v>
      </c>
      <c r="K146" s="20">
        <v>2.7993599999999997E-2</v>
      </c>
      <c r="L146" s="20">
        <v>4.6655999999999996E-2</v>
      </c>
      <c r="M146" s="20">
        <v>4.6655999999999996E-2</v>
      </c>
      <c r="N146" s="20">
        <v>7.7759999999999996E-2</v>
      </c>
      <c r="O146" s="20">
        <v>0.12959999999999999</v>
      </c>
      <c r="P146" s="20">
        <v>0.12959999999999999</v>
      </c>
      <c r="Q146" s="20">
        <v>0.216</v>
      </c>
      <c r="R146" s="20">
        <v>0.12959999999999999</v>
      </c>
      <c r="S146" s="20">
        <v>7.7759999999999996E-2</v>
      </c>
      <c r="T146" s="20">
        <v>0.12959999999999999</v>
      </c>
      <c r="U146" s="20">
        <v>0.12959999999999999</v>
      </c>
      <c r="V146" s="20">
        <v>0.216</v>
      </c>
      <c r="W146" s="20">
        <v>0.216</v>
      </c>
      <c r="X146" s="20">
        <v>0.12959999999999999</v>
      </c>
      <c r="Y146" s="20">
        <v>0.216</v>
      </c>
      <c r="Z146" s="20">
        <v>0.36</v>
      </c>
      <c r="AA146" s="20">
        <v>0.36</v>
      </c>
      <c r="AB146" s="20">
        <v>0.6</v>
      </c>
      <c r="AC146" s="20">
        <v>0.36</v>
      </c>
      <c r="AD146" s="20">
        <v>0.6</v>
      </c>
      <c r="AE146" s="20">
        <v>1</v>
      </c>
      <c r="AF146" s="20">
        <v>0.12959999999999999</v>
      </c>
      <c r="AG146" s="20">
        <v>7.7759999999999996E-2</v>
      </c>
      <c r="AH146" s="20">
        <v>4.6655999999999996E-2</v>
      </c>
      <c r="AI146" s="20">
        <v>4.6655999999999996E-2</v>
      </c>
      <c r="AJ146" s="20">
        <v>4.6655999999999996E-2</v>
      </c>
      <c r="AK146" s="20">
        <v>0.216</v>
      </c>
      <c r="AL146" s="20">
        <v>0.12959999999999999</v>
      </c>
      <c r="AM146" s="20">
        <v>7.7759999999999996E-2</v>
      </c>
      <c r="AN146" s="20">
        <v>4.6655999999999996E-2</v>
      </c>
      <c r="AO146" s="20">
        <v>0.36</v>
      </c>
      <c r="AP146" s="20">
        <v>0.216</v>
      </c>
      <c r="AQ146" s="20">
        <v>0.12959999999999999</v>
      </c>
      <c r="AR146" s="20">
        <v>7.7759999999999996E-2</v>
      </c>
      <c r="AS146" s="20">
        <v>4.6655999999999996E-2</v>
      </c>
      <c r="AT146" s="20">
        <v>4.6655999999999996E-2</v>
      </c>
      <c r="AU146" s="20">
        <v>2.7993599999999997E-2</v>
      </c>
    </row>
    <row r="147" spans="6:47" x14ac:dyDescent="0.25">
      <c r="F147" s="20">
        <v>0.12959999999999999</v>
      </c>
      <c r="G147" s="20">
        <v>7.7759999999999996E-2</v>
      </c>
      <c r="H147" s="20">
        <v>0.12959999999999999</v>
      </c>
      <c r="I147" s="20">
        <v>7.7759999999999996E-2</v>
      </c>
      <c r="J147" s="20">
        <v>7.7759999999999996E-2</v>
      </c>
      <c r="K147" s="20">
        <v>7.7759999999999996E-2</v>
      </c>
      <c r="L147" s="20">
        <v>4.6655999999999996E-2</v>
      </c>
      <c r="M147" s="20">
        <v>4.6655999999999996E-2</v>
      </c>
      <c r="N147" s="20">
        <v>4.6655999999999996E-2</v>
      </c>
      <c r="O147" s="20">
        <v>7.7759999999999996E-2</v>
      </c>
      <c r="P147" s="20">
        <v>7.7759999999999996E-2</v>
      </c>
      <c r="Q147" s="20">
        <v>0.12959999999999999</v>
      </c>
      <c r="R147" s="20">
        <v>7.7759999999999996E-2</v>
      </c>
      <c r="S147" s="20">
        <v>0.216</v>
      </c>
      <c r="T147" s="20">
        <v>0.216</v>
      </c>
      <c r="U147" s="20">
        <v>0.36</v>
      </c>
      <c r="V147" s="20">
        <v>0.6</v>
      </c>
      <c r="W147" s="20">
        <v>0.216</v>
      </c>
      <c r="X147" s="20">
        <v>0.36</v>
      </c>
      <c r="Y147" s="20">
        <v>0.36</v>
      </c>
      <c r="Z147" s="20">
        <v>0.216</v>
      </c>
      <c r="AA147" s="20">
        <v>0.216</v>
      </c>
      <c r="AB147" s="20">
        <v>0.216</v>
      </c>
      <c r="AC147" s="20">
        <v>0.12959999999999999</v>
      </c>
      <c r="AD147" s="20">
        <v>0.12959999999999999</v>
      </c>
      <c r="AE147" s="20">
        <v>0.12959999999999999</v>
      </c>
      <c r="AF147" s="20">
        <v>1</v>
      </c>
      <c r="AG147" s="20">
        <v>0.6</v>
      </c>
      <c r="AH147" s="20">
        <v>0.36</v>
      </c>
      <c r="AI147" s="20">
        <v>0.216</v>
      </c>
      <c r="AJ147" s="20">
        <v>0.36</v>
      </c>
      <c r="AK147" s="20">
        <v>0.6</v>
      </c>
      <c r="AL147" s="20">
        <v>0.6</v>
      </c>
      <c r="AM147" s="20">
        <v>0.36</v>
      </c>
      <c r="AN147" s="20">
        <v>0.216</v>
      </c>
      <c r="AO147" s="20">
        <v>0.36</v>
      </c>
      <c r="AP147" s="20">
        <v>0.36</v>
      </c>
      <c r="AQ147" s="20">
        <v>0.36</v>
      </c>
      <c r="AR147" s="20">
        <v>0.216</v>
      </c>
      <c r="AS147" s="20">
        <v>0.12959999999999999</v>
      </c>
      <c r="AT147" s="20">
        <v>0.12959999999999999</v>
      </c>
      <c r="AU147" s="20">
        <v>7.7759999999999996E-2</v>
      </c>
    </row>
    <row r="148" spans="6:47" x14ac:dyDescent="0.25">
      <c r="F148" s="20">
        <v>0.216</v>
      </c>
      <c r="G148" s="20">
        <v>0.12959999999999999</v>
      </c>
      <c r="H148" s="20">
        <v>7.7759999999999996E-2</v>
      </c>
      <c r="I148" s="20">
        <v>0.12959999999999999</v>
      </c>
      <c r="J148" s="20">
        <v>7.7759999999999996E-2</v>
      </c>
      <c r="K148" s="20">
        <v>4.6655999999999996E-2</v>
      </c>
      <c r="L148" s="20">
        <v>7.7759999999999996E-2</v>
      </c>
      <c r="M148" s="20">
        <v>4.6655999999999996E-2</v>
      </c>
      <c r="N148" s="20">
        <v>4.6655999999999996E-2</v>
      </c>
      <c r="O148" s="20">
        <v>4.6655999999999996E-2</v>
      </c>
      <c r="P148" s="20">
        <v>4.6655999999999996E-2</v>
      </c>
      <c r="Q148" s="20">
        <v>7.7759999999999996E-2</v>
      </c>
      <c r="R148" s="20">
        <v>4.6655999999999996E-2</v>
      </c>
      <c r="S148" s="20">
        <v>0.12959999999999999</v>
      </c>
      <c r="T148" s="20">
        <v>0.12959999999999999</v>
      </c>
      <c r="U148" s="20">
        <v>0.216</v>
      </c>
      <c r="V148" s="20">
        <v>0.36</v>
      </c>
      <c r="W148" s="20">
        <v>0.12959999999999999</v>
      </c>
      <c r="X148" s="20">
        <v>0.216</v>
      </c>
      <c r="Y148" s="20">
        <v>0.216</v>
      </c>
      <c r="Z148" s="20">
        <v>0.12959999999999999</v>
      </c>
      <c r="AA148" s="20">
        <v>0.12959999999999999</v>
      </c>
      <c r="AB148" s="20">
        <v>0.12959999999999999</v>
      </c>
      <c r="AC148" s="20">
        <v>7.7759999999999996E-2</v>
      </c>
      <c r="AD148" s="20">
        <v>7.7759999999999996E-2</v>
      </c>
      <c r="AE148" s="20">
        <v>7.7759999999999996E-2</v>
      </c>
      <c r="AF148" s="20">
        <v>0.6</v>
      </c>
      <c r="AG148" s="20">
        <v>1</v>
      </c>
      <c r="AH148" s="20">
        <v>0.6</v>
      </c>
      <c r="AI148" s="20">
        <v>0.36</v>
      </c>
      <c r="AJ148" s="20">
        <v>0.6</v>
      </c>
      <c r="AK148" s="20">
        <v>0.36</v>
      </c>
      <c r="AL148" s="20">
        <v>0.6</v>
      </c>
      <c r="AM148" s="20">
        <v>0.6</v>
      </c>
      <c r="AN148" s="20">
        <v>0.36</v>
      </c>
      <c r="AO148" s="20">
        <v>0.216</v>
      </c>
      <c r="AP148" s="20">
        <v>0.36</v>
      </c>
      <c r="AQ148" s="20">
        <v>0.36</v>
      </c>
      <c r="AR148" s="20">
        <v>0.216</v>
      </c>
      <c r="AS148" s="20">
        <v>0.12959999999999999</v>
      </c>
      <c r="AT148" s="20">
        <v>0.12959999999999999</v>
      </c>
      <c r="AU148" s="20">
        <v>7.7759999999999996E-2</v>
      </c>
    </row>
    <row r="149" spans="6:47" x14ac:dyDescent="0.25">
      <c r="F149" s="20">
        <v>0.36</v>
      </c>
      <c r="G149" s="20">
        <v>0.216</v>
      </c>
      <c r="H149" s="20">
        <v>0.12959999999999999</v>
      </c>
      <c r="I149" s="20">
        <v>0.216</v>
      </c>
      <c r="J149" s="20">
        <v>0.12959999999999999</v>
      </c>
      <c r="K149" s="20">
        <v>7.7759999999999996E-2</v>
      </c>
      <c r="L149" s="20">
        <v>0.12959999999999999</v>
      </c>
      <c r="M149" s="20">
        <v>7.7759999999999996E-2</v>
      </c>
      <c r="N149" s="20">
        <v>7.7759999999999996E-2</v>
      </c>
      <c r="O149" s="20">
        <v>4.6655999999999996E-2</v>
      </c>
      <c r="P149" s="20">
        <v>2.7993599999999997E-2</v>
      </c>
      <c r="Q149" s="20">
        <v>4.6655999999999996E-2</v>
      </c>
      <c r="R149" s="20">
        <v>2.7993599999999997E-2</v>
      </c>
      <c r="S149" s="20">
        <v>7.7759999999999996E-2</v>
      </c>
      <c r="T149" s="20">
        <v>7.7759999999999996E-2</v>
      </c>
      <c r="U149" s="20">
        <v>0.12959999999999999</v>
      </c>
      <c r="V149" s="20">
        <v>0.216</v>
      </c>
      <c r="W149" s="20">
        <v>7.7759999999999996E-2</v>
      </c>
      <c r="X149" s="20">
        <v>0.12959999999999999</v>
      </c>
      <c r="Y149" s="20">
        <v>0.12959999999999999</v>
      </c>
      <c r="Z149" s="20">
        <v>7.7759999999999996E-2</v>
      </c>
      <c r="AA149" s="20">
        <v>7.7759999999999996E-2</v>
      </c>
      <c r="AB149" s="20">
        <v>7.7759999999999996E-2</v>
      </c>
      <c r="AC149" s="20">
        <v>4.6655999999999996E-2</v>
      </c>
      <c r="AD149" s="20">
        <v>4.6655999999999996E-2</v>
      </c>
      <c r="AE149" s="20">
        <v>4.6655999999999996E-2</v>
      </c>
      <c r="AF149" s="20">
        <v>0.36</v>
      </c>
      <c r="AG149" s="20">
        <v>0.6</v>
      </c>
      <c r="AH149" s="20">
        <v>1</v>
      </c>
      <c r="AI149" s="20">
        <v>0.6</v>
      </c>
      <c r="AJ149" s="20">
        <v>0.6</v>
      </c>
      <c r="AK149" s="20">
        <v>0.216</v>
      </c>
      <c r="AL149" s="20">
        <v>0.36</v>
      </c>
      <c r="AM149" s="20">
        <v>0.36</v>
      </c>
      <c r="AN149" s="20">
        <v>0.36</v>
      </c>
      <c r="AO149" s="20">
        <v>0.12959999999999999</v>
      </c>
      <c r="AP149" s="20">
        <v>0.216</v>
      </c>
      <c r="AQ149" s="20">
        <v>0.216</v>
      </c>
      <c r="AR149" s="20">
        <v>0.12959999999999999</v>
      </c>
      <c r="AS149" s="20">
        <v>7.7759999999999996E-2</v>
      </c>
      <c r="AT149" s="20">
        <v>7.7759999999999996E-2</v>
      </c>
      <c r="AU149" s="20">
        <v>4.6655999999999996E-2</v>
      </c>
    </row>
    <row r="150" spans="6:47" x14ac:dyDescent="0.25">
      <c r="F150" s="20">
        <v>0.6</v>
      </c>
      <c r="G150" s="20">
        <v>0.36</v>
      </c>
      <c r="H150" s="20">
        <v>0.216</v>
      </c>
      <c r="I150" s="20">
        <v>0.36</v>
      </c>
      <c r="J150" s="20">
        <v>0.216</v>
      </c>
      <c r="K150" s="20">
        <v>0.12959999999999999</v>
      </c>
      <c r="L150" s="20">
        <v>0.216</v>
      </c>
      <c r="M150" s="20">
        <v>0.12959999999999999</v>
      </c>
      <c r="N150" s="20">
        <v>0.12959999999999999</v>
      </c>
      <c r="O150" s="20">
        <v>7.7759999999999996E-2</v>
      </c>
      <c r="P150" s="20">
        <v>4.6655999999999996E-2</v>
      </c>
      <c r="Q150" s="20">
        <v>4.6655999999999996E-2</v>
      </c>
      <c r="R150" s="20">
        <v>2.7993599999999997E-2</v>
      </c>
      <c r="S150" s="20">
        <v>0.12959999999999999</v>
      </c>
      <c r="T150" s="20">
        <v>7.7759999999999996E-2</v>
      </c>
      <c r="U150" s="20">
        <v>7.7759999999999996E-2</v>
      </c>
      <c r="V150" s="20">
        <v>0.12959999999999999</v>
      </c>
      <c r="W150" s="20">
        <v>4.6655999999999996E-2</v>
      </c>
      <c r="X150" s="20">
        <v>7.7759999999999996E-2</v>
      </c>
      <c r="Y150" s="20">
        <v>7.7759999999999996E-2</v>
      </c>
      <c r="Z150" s="20">
        <v>4.6655999999999996E-2</v>
      </c>
      <c r="AA150" s="20">
        <v>7.7759999999999996E-2</v>
      </c>
      <c r="AB150" s="20">
        <v>7.7759999999999996E-2</v>
      </c>
      <c r="AC150" s="20">
        <v>4.6655999999999996E-2</v>
      </c>
      <c r="AD150" s="20">
        <v>4.6655999999999996E-2</v>
      </c>
      <c r="AE150" s="20">
        <v>4.6655999999999996E-2</v>
      </c>
      <c r="AF150" s="20">
        <v>0.216</v>
      </c>
      <c r="AG150" s="20">
        <v>0.36</v>
      </c>
      <c r="AH150" s="20">
        <v>0.6</v>
      </c>
      <c r="AI150" s="20">
        <v>1</v>
      </c>
      <c r="AJ150" s="20">
        <v>0.6</v>
      </c>
      <c r="AK150" s="20">
        <v>0.216</v>
      </c>
      <c r="AL150" s="20">
        <v>0.36</v>
      </c>
      <c r="AM150" s="20">
        <v>0.6</v>
      </c>
      <c r="AN150" s="20">
        <v>0.6</v>
      </c>
      <c r="AO150" s="20">
        <v>0.12959999999999999</v>
      </c>
      <c r="AP150" s="20">
        <v>0.216</v>
      </c>
      <c r="AQ150" s="20">
        <v>0.216</v>
      </c>
      <c r="AR150" s="20">
        <v>0.12959999999999999</v>
      </c>
      <c r="AS150" s="20">
        <v>7.7759999999999996E-2</v>
      </c>
      <c r="AT150" s="20">
        <v>7.7759999999999996E-2</v>
      </c>
      <c r="AU150" s="20">
        <v>4.6655999999999996E-2</v>
      </c>
    </row>
    <row r="151" spans="6:47" x14ac:dyDescent="0.25">
      <c r="F151" s="20">
        <v>0.36</v>
      </c>
      <c r="G151" s="20">
        <v>0.216</v>
      </c>
      <c r="H151" s="20">
        <v>0.12959999999999999</v>
      </c>
      <c r="I151" s="20">
        <v>0.216</v>
      </c>
      <c r="J151" s="20">
        <v>0.12959999999999999</v>
      </c>
      <c r="K151" s="20">
        <v>7.7759999999999996E-2</v>
      </c>
      <c r="L151" s="20">
        <v>0.12959999999999999</v>
      </c>
      <c r="M151" s="20">
        <v>7.7759999999999996E-2</v>
      </c>
      <c r="N151" s="20">
        <v>7.7759999999999996E-2</v>
      </c>
      <c r="O151" s="20">
        <v>4.6655999999999996E-2</v>
      </c>
      <c r="P151" s="20">
        <v>2.7993599999999997E-2</v>
      </c>
      <c r="Q151" s="20">
        <v>4.6655999999999996E-2</v>
      </c>
      <c r="R151" s="20">
        <v>2.7993599999999997E-2</v>
      </c>
      <c r="S151" s="20">
        <v>7.7759999999999996E-2</v>
      </c>
      <c r="T151" s="20">
        <v>7.7759999999999996E-2</v>
      </c>
      <c r="U151" s="20">
        <v>0.12959999999999999</v>
      </c>
      <c r="V151" s="20">
        <v>0.216</v>
      </c>
      <c r="W151" s="20">
        <v>7.7759999999999996E-2</v>
      </c>
      <c r="X151" s="20">
        <v>0.12959999999999999</v>
      </c>
      <c r="Y151" s="20">
        <v>0.12959999999999999</v>
      </c>
      <c r="Z151" s="20">
        <v>7.7759999999999996E-2</v>
      </c>
      <c r="AA151" s="20">
        <v>7.7759999999999996E-2</v>
      </c>
      <c r="AB151" s="20">
        <v>7.7759999999999996E-2</v>
      </c>
      <c r="AC151" s="20">
        <v>4.6655999999999996E-2</v>
      </c>
      <c r="AD151" s="20">
        <v>4.6655999999999996E-2</v>
      </c>
      <c r="AE151" s="20">
        <v>4.6655999999999996E-2</v>
      </c>
      <c r="AF151" s="20">
        <v>0.36</v>
      </c>
      <c r="AG151" s="20">
        <v>0.6</v>
      </c>
      <c r="AH151" s="20">
        <v>0.6</v>
      </c>
      <c r="AI151" s="20">
        <v>0.6</v>
      </c>
      <c r="AJ151" s="20">
        <v>1</v>
      </c>
      <c r="AK151" s="20">
        <v>0.216</v>
      </c>
      <c r="AL151" s="20">
        <v>0.36</v>
      </c>
      <c r="AM151" s="20">
        <v>0.6</v>
      </c>
      <c r="AN151" s="20">
        <v>0.36</v>
      </c>
      <c r="AO151" s="20">
        <v>0.12959999999999999</v>
      </c>
      <c r="AP151" s="20">
        <v>0.216</v>
      </c>
      <c r="AQ151" s="20">
        <v>0.216</v>
      </c>
      <c r="AR151" s="20">
        <v>0.12959999999999999</v>
      </c>
      <c r="AS151" s="20">
        <v>7.7759999999999996E-2</v>
      </c>
      <c r="AT151" s="20">
        <v>7.7759999999999996E-2</v>
      </c>
      <c r="AU151" s="20">
        <v>4.6655999999999996E-2</v>
      </c>
    </row>
    <row r="152" spans="6:47" x14ac:dyDescent="0.25">
      <c r="F152" s="20">
        <v>0.12959999999999999</v>
      </c>
      <c r="G152" s="20">
        <v>7.7759999999999996E-2</v>
      </c>
      <c r="H152" s="20">
        <v>0.12959999999999999</v>
      </c>
      <c r="I152" s="20">
        <v>7.7759999999999996E-2</v>
      </c>
      <c r="J152" s="20">
        <v>7.7759999999999996E-2</v>
      </c>
      <c r="K152" s="20">
        <v>7.7759999999999996E-2</v>
      </c>
      <c r="L152" s="20">
        <v>4.6655999999999996E-2</v>
      </c>
      <c r="M152" s="20">
        <v>4.6655999999999996E-2</v>
      </c>
      <c r="N152" s="20">
        <v>4.6655999999999996E-2</v>
      </c>
      <c r="O152" s="20">
        <v>7.7759999999999996E-2</v>
      </c>
      <c r="P152" s="20">
        <v>7.7759999999999996E-2</v>
      </c>
      <c r="Q152" s="20">
        <v>0.12959999999999999</v>
      </c>
      <c r="R152" s="20">
        <v>7.7759999999999996E-2</v>
      </c>
      <c r="S152" s="20">
        <v>0.216</v>
      </c>
      <c r="T152" s="20">
        <v>0.216</v>
      </c>
      <c r="U152" s="20">
        <v>0.36</v>
      </c>
      <c r="V152" s="20">
        <v>0.6</v>
      </c>
      <c r="W152" s="20">
        <v>0.216</v>
      </c>
      <c r="X152" s="20">
        <v>0.36</v>
      </c>
      <c r="Y152" s="20">
        <v>0.36</v>
      </c>
      <c r="Z152" s="20">
        <v>0.216</v>
      </c>
      <c r="AA152" s="20">
        <v>0.36</v>
      </c>
      <c r="AB152" s="20">
        <v>0.36</v>
      </c>
      <c r="AC152" s="20">
        <v>0.216</v>
      </c>
      <c r="AD152" s="20">
        <v>0.216</v>
      </c>
      <c r="AE152" s="20">
        <v>0.216</v>
      </c>
      <c r="AF152" s="20">
        <v>0.6</v>
      </c>
      <c r="AG152" s="20">
        <v>0.36</v>
      </c>
      <c r="AH152" s="20">
        <v>0.216</v>
      </c>
      <c r="AI152" s="20">
        <v>0.216</v>
      </c>
      <c r="AJ152" s="20">
        <v>0.216</v>
      </c>
      <c r="AK152" s="20">
        <v>1</v>
      </c>
      <c r="AL152" s="20">
        <v>0.6</v>
      </c>
      <c r="AM152" s="20">
        <v>0.36</v>
      </c>
      <c r="AN152" s="20">
        <v>0.216</v>
      </c>
      <c r="AO152" s="20">
        <v>0.6</v>
      </c>
      <c r="AP152" s="20">
        <v>0.6</v>
      </c>
      <c r="AQ152" s="20">
        <v>0.36</v>
      </c>
      <c r="AR152" s="20">
        <v>0.216</v>
      </c>
      <c r="AS152" s="20">
        <v>0.12959999999999999</v>
      </c>
      <c r="AT152" s="20">
        <v>0.12959999999999999</v>
      </c>
      <c r="AU152" s="20">
        <v>7.7759999999999996E-2</v>
      </c>
    </row>
    <row r="153" spans="6:47" x14ac:dyDescent="0.25">
      <c r="F153" s="20">
        <v>0.216</v>
      </c>
      <c r="G153" s="20">
        <v>0.12959999999999999</v>
      </c>
      <c r="H153" s="20">
        <v>7.7759999999999996E-2</v>
      </c>
      <c r="I153" s="20">
        <v>0.12959999999999999</v>
      </c>
      <c r="J153" s="20">
        <v>7.7759999999999996E-2</v>
      </c>
      <c r="K153" s="20">
        <v>4.6655999999999996E-2</v>
      </c>
      <c r="L153" s="20">
        <v>7.7759999999999996E-2</v>
      </c>
      <c r="M153" s="20">
        <v>4.6655999999999996E-2</v>
      </c>
      <c r="N153" s="20">
        <v>4.6655999999999996E-2</v>
      </c>
      <c r="O153" s="20">
        <v>4.6655999999999996E-2</v>
      </c>
      <c r="P153" s="20">
        <v>4.6655999999999996E-2</v>
      </c>
      <c r="Q153" s="20">
        <v>7.7759999999999996E-2</v>
      </c>
      <c r="R153" s="20">
        <v>4.6655999999999996E-2</v>
      </c>
      <c r="S153" s="20">
        <v>0.12959999999999999</v>
      </c>
      <c r="T153" s="20">
        <v>0.12959999999999999</v>
      </c>
      <c r="U153" s="20">
        <v>0.216</v>
      </c>
      <c r="V153" s="20">
        <v>0.36</v>
      </c>
      <c r="W153" s="20">
        <v>0.12959999999999999</v>
      </c>
      <c r="X153" s="20">
        <v>0.216</v>
      </c>
      <c r="Y153" s="20">
        <v>0.216</v>
      </c>
      <c r="Z153" s="20">
        <v>0.12959999999999999</v>
      </c>
      <c r="AA153" s="20">
        <v>0.216</v>
      </c>
      <c r="AB153" s="20">
        <v>0.216</v>
      </c>
      <c r="AC153" s="20">
        <v>0.12959999999999999</v>
      </c>
      <c r="AD153" s="20">
        <v>0.12959999999999999</v>
      </c>
      <c r="AE153" s="20">
        <v>0.12959999999999999</v>
      </c>
      <c r="AF153" s="20">
        <v>0.6</v>
      </c>
      <c r="AG153" s="20">
        <v>0.6</v>
      </c>
      <c r="AH153" s="20">
        <v>0.36</v>
      </c>
      <c r="AI153" s="20">
        <v>0.36</v>
      </c>
      <c r="AJ153" s="20">
        <v>0.36</v>
      </c>
      <c r="AK153" s="20">
        <v>0.6</v>
      </c>
      <c r="AL153" s="20">
        <v>1</v>
      </c>
      <c r="AM153" s="20">
        <v>0.6</v>
      </c>
      <c r="AN153" s="20">
        <v>0.36</v>
      </c>
      <c r="AO153" s="20">
        <v>0.36</v>
      </c>
      <c r="AP153" s="20">
        <v>0.6</v>
      </c>
      <c r="AQ153" s="20">
        <v>0.6</v>
      </c>
      <c r="AR153" s="20">
        <v>0.36</v>
      </c>
      <c r="AS153" s="20">
        <v>0.216</v>
      </c>
      <c r="AT153" s="20">
        <v>0.216</v>
      </c>
      <c r="AU153" s="20">
        <v>0.12959999999999999</v>
      </c>
    </row>
    <row r="154" spans="6:47" x14ac:dyDescent="0.25">
      <c r="F154" s="20">
        <v>0.36</v>
      </c>
      <c r="G154" s="20">
        <v>0.216</v>
      </c>
      <c r="H154" s="20">
        <v>0.12959999999999999</v>
      </c>
      <c r="I154" s="20">
        <v>0.216</v>
      </c>
      <c r="J154" s="20">
        <v>0.12959999999999999</v>
      </c>
      <c r="K154" s="20">
        <v>7.7759999999999996E-2</v>
      </c>
      <c r="L154" s="20">
        <v>0.12959999999999999</v>
      </c>
      <c r="M154" s="20">
        <v>7.7759999999999996E-2</v>
      </c>
      <c r="N154" s="20">
        <v>7.7759999999999996E-2</v>
      </c>
      <c r="O154" s="20">
        <v>4.6655999999999996E-2</v>
      </c>
      <c r="P154" s="20">
        <v>2.7993599999999997E-2</v>
      </c>
      <c r="Q154" s="20">
        <v>4.6655999999999996E-2</v>
      </c>
      <c r="R154" s="20">
        <v>2.7993599999999997E-2</v>
      </c>
      <c r="S154" s="20">
        <v>7.7759999999999996E-2</v>
      </c>
      <c r="T154" s="20">
        <v>7.7759999999999996E-2</v>
      </c>
      <c r="U154" s="20">
        <v>0.12959999999999999</v>
      </c>
      <c r="V154" s="20">
        <v>0.216</v>
      </c>
      <c r="W154" s="20">
        <v>7.7759999999999996E-2</v>
      </c>
      <c r="X154" s="20">
        <v>0.12959999999999999</v>
      </c>
      <c r="Y154" s="20">
        <v>0.12959999999999999</v>
      </c>
      <c r="Z154" s="20">
        <v>7.7759999999999996E-2</v>
      </c>
      <c r="AA154" s="20">
        <v>0.12959999999999999</v>
      </c>
      <c r="AB154" s="20">
        <v>0.12959999999999999</v>
      </c>
      <c r="AC154" s="20">
        <v>7.7759999999999996E-2</v>
      </c>
      <c r="AD154" s="20">
        <v>7.7759999999999996E-2</v>
      </c>
      <c r="AE154" s="20">
        <v>7.7759999999999996E-2</v>
      </c>
      <c r="AF154" s="20">
        <v>0.36</v>
      </c>
      <c r="AG154" s="20">
        <v>0.6</v>
      </c>
      <c r="AH154" s="20">
        <v>0.36</v>
      </c>
      <c r="AI154" s="20">
        <v>0.6</v>
      </c>
      <c r="AJ154" s="20">
        <v>0.6</v>
      </c>
      <c r="AK154" s="20">
        <v>0.36</v>
      </c>
      <c r="AL154" s="20">
        <v>0.6</v>
      </c>
      <c r="AM154" s="20">
        <v>1</v>
      </c>
      <c r="AN154" s="20">
        <v>0.6</v>
      </c>
      <c r="AO154" s="20">
        <v>0.216</v>
      </c>
      <c r="AP154" s="20">
        <v>0.36</v>
      </c>
      <c r="AQ154" s="20">
        <v>0.36</v>
      </c>
      <c r="AR154" s="20">
        <v>0.216</v>
      </c>
      <c r="AS154" s="20">
        <v>0.12959999999999999</v>
      </c>
      <c r="AT154" s="20">
        <v>0.12959999999999999</v>
      </c>
      <c r="AU154" s="20">
        <v>7.7759999999999996E-2</v>
      </c>
    </row>
    <row r="155" spans="6:47" x14ac:dyDescent="0.25">
      <c r="F155" s="20">
        <v>0.36</v>
      </c>
      <c r="G155" s="20">
        <v>0.216</v>
      </c>
      <c r="H155" s="20">
        <v>0.12959999999999999</v>
      </c>
      <c r="I155" s="20">
        <v>0.216</v>
      </c>
      <c r="J155" s="20">
        <v>0.12959999999999999</v>
      </c>
      <c r="K155" s="20">
        <v>7.7759999999999996E-2</v>
      </c>
      <c r="L155" s="20">
        <v>0.12959999999999999</v>
      </c>
      <c r="M155" s="20">
        <v>7.7759999999999996E-2</v>
      </c>
      <c r="N155" s="20">
        <v>7.7759999999999996E-2</v>
      </c>
      <c r="O155" s="20">
        <v>4.6655999999999996E-2</v>
      </c>
      <c r="P155" s="20">
        <v>2.7993599999999997E-2</v>
      </c>
      <c r="Q155" s="20">
        <v>2.7993599999999997E-2</v>
      </c>
      <c r="R155" s="20">
        <v>1.6796159999999997E-2</v>
      </c>
      <c r="S155" s="20">
        <v>7.7759999999999996E-2</v>
      </c>
      <c r="T155" s="20">
        <v>4.6655999999999996E-2</v>
      </c>
      <c r="U155" s="20">
        <v>7.7759999999999996E-2</v>
      </c>
      <c r="V155" s="20">
        <v>0.12959999999999999</v>
      </c>
      <c r="W155" s="20">
        <v>4.6655999999999996E-2</v>
      </c>
      <c r="X155" s="20">
        <v>7.7759999999999996E-2</v>
      </c>
      <c r="Y155" s="20">
        <v>7.7759999999999996E-2</v>
      </c>
      <c r="Z155" s="20">
        <v>4.6655999999999996E-2</v>
      </c>
      <c r="AA155" s="20">
        <v>7.7759999999999996E-2</v>
      </c>
      <c r="AB155" s="20">
        <v>7.7759999999999996E-2</v>
      </c>
      <c r="AC155" s="20">
        <v>4.6655999999999996E-2</v>
      </c>
      <c r="AD155" s="20">
        <v>4.6655999999999996E-2</v>
      </c>
      <c r="AE155" s="20">
        <v>4.6655999999999996E-2</v>
      </c>
      <c r="AF155" s="20">
        <v>0.216</v>
      </c>
      <c r="AG155" s="20">
        <v>0.36</v>
      </c>
      <c r="AH155" s="20">
        <v>0.36</v>
      </c>
      <c r="AI155" s="20">
        <v>0.6</v>
      </c>
      <c r="AJ155" s="20">
        <v>0.36</v>
      </c>
      <c r="AK155" s="20">
        <v>0.216</v>
      </c>
      <c r="AL155" s="20">
        <v>0.36</v>
      </c>
      <c r="AM155" s="20">
        <v>0.6</v>
      </c>
      <c r="AN155" s="20">
        <v>1</v>
      </c>
      <c r="AO155" s="20">
        <v>0.12959999999999999</v>
      </c>
      <c r="AP155" s="20">
        <v>0.216</v>
      </c>
      <c r="AQ155" s="20">
        <v>0.216</v>
      </c>
      <c r="AR155" s="20">
        <v>0.12959999999999999</v>
      </c>
      <c r="AS155" s="20">
        <v>7.7759999999999996E-2</v>
      </c>
      <c r="AT155" s="20">
        <v>7.7759999999999996E-2</v>
      </c>
      <c r="AU155" s="20">
        <v>4.6655999999999996E-2</v>
      </c>
    </row>
    <row r="156" spans="6:47" x14ac:dyDescent="0.25">
      <c r="F156" s="20">
        <v>7.7759999999999996E-2</v>
      </c>
      <c r="G156" s="20">
        <v>7.7759999999999996E-2</v>
      </c>
      <c r="H156" s="20">
        <v>0.12959999999999999</v>
      </c>
      <c r="I156" s="20">
        <v>4.6655999999999996E-2</v>
      </c>
      <c r="J156" s="20">
        <v>7.7759999999999996E-2</v>
      </c>
      <c r="K156" s="20">
        <v>7.7759999999999996E-2</v>
      </c>
      <c r="L156" s="20">
        <v>4.6655999999999996E-2</v>
      </c>
      <c r="M156" s="20">
        <v>4.6655999999999996E-2</v>
      </c>
      <c r="N156" s="20">
        <v>7.7759999999999996E-2</v>
      </c>
      <c r="O156" s="20">
        <v>0.12959999999999999</v>
      </c>
      <c r="P156" s="20">
        <v>0.12959999999999999</v>
      </c>
      <c r="Q156" s="20">
        <v>0.216</v>
      </c>
      <c r="R156" s="20">
        <v>0.12959999999999999</v>
      </c>
      <c r="S156" s="20">
        <v>0.216</v>
      </c>
      <c r="T156" s="20">
        <v>0.216</v>
      </c>
      <c r="U156" s="20">
        <v>0.36</v>
      </c>
      <c r="V156" s="20">
        <v>0.6</v>
      </c>
      <c r="W156" s="20">
        <v>0.36</v>
      </c>
      <c r="X156" s="20">
        <v>0.36</v>
      </c>
      <c r="Y156" s="20">
        <v>0.6</v>
      </c>
      <c r="Z156" s="20">
        <v>0.36</v>
      </c>
      <c r="AA156" s="20">
        <v>0.6</v>
      </c>
      <c r="AB156" s="20">
        <v>0.6</v>
      </c>
      <c r="AC156" s="20">
        <v>0.36</v>
      </c>
      <c r="AD156" s="20">
        <v>0.36</v>
      </c>
      <c r="AE156" s="20">
        <v>0.36</v>
      </c>
      <c r="AF156" s="20">
        <v>0.36</v>
      </c>
      <c r="AG156" s="20">
        <v>0.216</v>
      </c>
      <c r="AH156" s="20">
        <v>0.12959999999999999</v>
      </c>
      <c r="AI156" s="20">
        <v>0.12959999999999999</v>
      </c>
      <c r="AJ156" s="20">
        <v>0.12959999999999999</v>
      </c>
      <c r="AK156" s="20">
        <v>0.6</v>
      </c>
      <c r="AL156" s="20">
        <v>0.36</v>
      </c>
      <c r="AM156" s="20">
        <v>0.216</v>
      </c>
      <c r="AN156" s="20">
        <v>0.12959999999999999</v>
      </c>
      <c r="AO156" s="20">
        <v>1</v>
      </c>
      <c r="AP156" s="20">
        <v>0.6</v>
      </c>
      <c r="AQ156" s="20">
        <v>0.36</v>
      </c>
      <c r="AR156" s="20">
        <v>0.216</v>
      </c>
      <c r="AS156" s="20">
        <v>0.12959999999999999</v>
      </c>
      <c r="AT156" s="20">
        <v>0.12959999999999999</v>
      </c>
      <c r="AU156" s="20">
        <v>7.7759999999999996E-2</v>
      </c>
    </row>
    <row r="157" spans="6:47" x14ac:dyDescent="0.25">
      <c r="F157" s="20">
        <v>0.12959999999999999</v>
      </c>
      <c r="G157" s="20">
        <v>7.7759999999999996E-2</v>
      </c>
      <c r="H157" s="20">
        <v>7.7759999999999996E-2</v>
      </c>
      <c r="I157" s="20">
        <v>7.7759999999999996E-2</v>
      </c>
      <c r="J157" s="20">
        <v>4.6655999999999996E-2</v>
      </c>
      <c r="K157" s="20">
        <v>4.6655999999999996E-2</v>
      </c>
      <c r="L157" s="20">
        <v>4.6655999999999996E-2</v>
      </c>
      <c r="M157" s="20">
        <v>2.7993599999999997E-2</v>
      </c>
      <c r="N157" s="20">
        <v>4.6655999999999996E-2</v>
      </c>
      <c r="O157" s="20">
        <v>7.7759999999999996E-2</v>
      </c>
      <c r="P157" s="20">
        <v>7.7759999999999996E-2</v>
      </c>
      <c r="Q157" s="20">
        <v>0.12959999999999999</v>
      </c>
      <c r="R157" s="20">
        <v>7.7759999999999996E-2</v>
      </c>
      <c r="S157" s="20">
        <v>0.12959999999999999</v>
      </c>
      <c r="T157" s="20">
        <v>0.12959999999999999</v>
      </c>
      <c r="U157" s="20">
        <v>0.216</v>
      </c>
      <c r="V157" s="20">
        <v>0.36</v>
      </c>
      <c r="W157" s="20">
        <v>0.216</v>
      </c>
      <c r="X157" s="20">
        <v>0.216</v>
      </c>
      <c r="Y157" s="20">
        <v>0.36</v>
      </c>
      <c r="Z157" s="20">
        <v>0.216</v>
      </c>
      <c r="AA157" s="20">
        <v>0.36</v>
      </c>
      <c r="AB157" s="20">
        <v>0.36</v>
      </c>
      <c r="AC157" s="20">
        <v>0.216</v>
      </c>
      <c r="AD157" s="20">
        <v>0.216</v>
      </c>
      <c r="AE157" s="20">
        <v>0.216</v>
      </c>
      <c r="AF157" s="20">
        <v>0.36</v>
      </c>
      <c r="AG157" s="20">
        <v>0.36</v>
      </c>
      <c r="AH157" s="20">
        <v>0.216</v>
      </c>
      <c r="AI157" s="20">
        <v>0.216</v>
      </c>
      <c r="AJ157" s="20">
        <v>0.216</v>
      </c>
      <c r="AK157" s="20">
        <v>0.6</v>
      </c>
      <c r="AL157" s="20">
        <v>0.6</v>
      </c>
      <c r="AM157" s="20">
        <v>0.36</v>
      </c>
      <c r="AN157" s="20">
        <v>0.216</v>
      </c>
      <c r="AO157" s="20">
        <v>0.6</v>
      </c>
      <c r="AP157" s="20">
        <v>1</v>
      </c>
      <c r="AQ157" s="20">
        <v>0.6</v>
      </c>
      <c r="AR157" s="20">
        <v>0.36</v>
      </c>
      <c r="AS157" s="20">
        <v>0.216</v>
      </c>
      <c r="AT157" s="20">
        <v>0.216</v>
      </c>
      <c r="AU157" s="20">
        <v>0.12959999999999999</v>
      </c>
    </row>
    <row r="158" spans="6:47" x14ac:dyDescent="0.25">
      <c r="F158" s="20">
        <v>0.12959999999999999</v>
      </c>
      <c r="G158" s="20">
        <v>7.7759999999999996E-2</v>
      </c>
      <c r="H158" s="20">
        <v>4.6655999999999996E-2</v>
      </c>
      <c r="I158" s="20">
        <v>7.7759999999999996E-2</v>
      </c>
      <c r="J158" s="20">
        <v>4.6655999999999996E-2</v>
      </c>
      <c r="K158" s="20">
        <v>2.7993599999999997E-2</v>
      </c>
      <c r="L158" s="20">
        <v>4.6655999999999996E-2</v>
      </c>
      <c r="M158" s="20">
        <v>2.7993599999999997E-2</v>
      </c>
      <c r="N158" s="20">
        <v>2.7993599999999997E-2</v>
      </c>
      <c r="O158" s="20">
        <v>4.6655999999999996E-2</v>
      </c>
      <c r="P158" s="20">
        <v>4.6655999999999996E-2</v>
      </c>
      <c r="Q158" s="20">
        <v>7.7759999999999996E-2</v>
      </c>
      <c r="R158" s="20">
        <v>4.6655999999999996E-2</v>
      </c>
      <c r="S158" s="20">
        <v>7.7759999999999996E-2</v>
      </c>
      <c r="T158" s="20">
        <v>7.7759999999999996E-2</v>
      </c>
      <c r="U158" s="20">
        <v>0.12959999999999999</v>
      </c>
      <c r="V158" s="20">
        <v>0.216</v>
      </c>
      <c r="W158" s="20">
        <v>0.12959999999999999</v>
      </c>
      <c r="X158" s="20">
        <v>0.12959999999999999</v>
      </c>
      <c r="Y158" s="20">
        <v>0.216</v>
      </c>
      <c r="Z158" s="20">
        <v>0.12959999999999999</v>
      </c>
      <c r="AA158" s="20">
        <v>0.216</v>
      </c>
      <c r="AB158" s="20">
        <v>0.216</v>
      </c>
      <c r="AC158" s="20">
        <v>0.12959999999999999</v>
      </c>
      <c r="AD158" s="20">
        <v>0.12959999999999999</v>
      </c>
      <c r="AE158" s="20">
        <v>0.12959999999999999</v>
      </c>
      <c r="AF158" s="20">
        <v>0.36</v>
      </c>
      <c r="AG158" s="20">
        <v>0.36</v>
      </c>
      <c r="AH158" s="20">
        <v>0.216</v>
      </c>
      <c r="AI158" s="20">
        <v>0.216</v>
      </c>
      <c r="AJ158" s="20">
        <v>0.216</v>
      </c>
      <c r="AK158" s="20">
        <v>0.36</v>
      </c>
      <c r="AL158" s="20">
        <v>0.6</v>
      </c>
      <c r="AM158" s="20">
        <v>0.36</v>
      </c>
      <c r="AN158" s="20">
        <v>0.216</v>
      </c>
      <c r="AO158" s="20">
        <v>0.36</v>
      </c>
      <c r="AP158" s="20">
        <v>0.6</v>
      </c>
      <c r="AQ158" s="20">
        <v>1</v>
      </c>
      <c r="AR158" s="20">
        <v>0.6</v>
      </c>
      <c r="AS158" s="20">
        <v>0.36</v>
      </c>
      <c r="AT158" s="20">
        <v>0.36</v>
      </c>
      <c r="AU158" s="20">
        <v>0.216</v>
      </c>
    </row>
    <row r="159" spans="6:47" x14ac:dyDescent="0.25">
      <c r="F159" s="20">
        <v>7.7759999999999996E-2</v>
      </c>
      <c r="G159" s="20">
        <v>4.6655999999999996E-2</v>
      </c>
      <c r="H159" s="20">
        <v>2.7993599999999997E-2</v>
      </c>
      <c r="I159" s="20">
        <v>4.6655999999999996E-2</v>
      </c>
      <c r="J159" s="20">
        <v>2.7993599999999997E-2</v>
      </c>
      <c r="K159" s="20">
        <v>1.6796159999999997E-2</v>
      </c>
      <c r="L159" s="20">
        <v>2.7993599999999997E-2</v>
      </c>
      <c r="M159" s="20">
        <v>1.6796159999999997E-2</v>
      </c>
      <c r="N159" s="20">
        <v>1.6796159999999997E-2</v>
      </c>
      <c r="O159" s="20">
        <v>2.7993599999999997E-2</v>
      </c>
      <c r="P159" s="20">
        <v>2.7993599999999997E-2</v>
      </c>
      <c r="Q159" s="20">
        <v>4.6655999999999996E-2</v>
      </c>
      <c r="R159" s="20">
        <v>2.7993599999999997E-2</v>
      </c>
      <c r="S159" s="20">
        <v>4.6655999999999996E-2</v>
      </c>
      <c r="T159" s="20">
        <v>4.6655999999999996E-2</v>
      </c>
      <c r="U159" s="20">
        <v>7.7759999999999996E-2</v>
      </c>
      <c r="V159" s="20">
        <v>0.12959999999999999</v>
      </c>
      <c r="W159" s="20">
        <v>7.7759999999999996E-2</v>
      </c>
      <c r="X159" s="20">
        <v>7.7759999999999996E-2</v>
      </c>
      <c r="Y159" s="20">
        <v>0.12959999999999999</v>
      </c>
      <c r="Z159" s="20">
        <v>7.7759999999999996E-2</v>
      </c>
      <c r="AA159" s="20">
        <v>0.12959999999999999</v>
      </c>
      <c r="AB159" s="20">
        <v>0.12959999999999999</v>
      </c>
      <c r="AC159" s="20">
        <v>7.7759999999999996E-2</v>
      </c>
      <c r="AD159" s="20">
        <v>7.7759999999999996E-2</v>
      </c>
      <c r="AE159" s="20">
        <v>7.7759999999999996E-2</v>
      </c>
      <c r="AF159" s="20">
        <v>0.216</v>
      </c>
      <c r="AG159" s="20">
        <v>0.216</v>
      </c>
      <c r="AH159" s="20">
        <v>0.12959999999999999</v>
      </c>
      <c r="AI159" s="20">
        <v>0.12959999999999999</v>
      </c>
      <c r="AJ159" s="20">
        <v>0.12959999999999999</v>
      </c>
      <c r="AK159" s="20">
        <v>0.216</v>
      </c>
      <c r="AL159" s="20">
        <v>0.36</v>
      </c>
      <c r="AM159" s="20">
        <v>0.216</v>
      </c>
      <c r="AN159" s="20">
        <v>0.12959999999999999</v>
      </c>
      <c r="AO159" s="20">
        <v>0.216</v>
      </c>
      <c r="AP159" s="20">
        <v>0.36</v>
      </c>
      <c r="AQ159" s="20">
        <v>0.6</v>
      </c>
      <c r="AR159" s="20">
        <v>1</v>
      </c>
      <c r="AS159" s="20">
        <v>0.6</v>
      </c>
      <c r="AT159" s="20">
        <v>0.6</v>
      </c>
      <c r="AU159" s="20">
        <v>0.36</v>
      </c>
    </row>
    <row r="160" spans="6:47" x14ac:dyDescent="0.25">
      <c r="F160" s="20">
        <v>4.6655999999999996E-2</v>
      </c>
      <c r="G160" s="20">
        <v>2.7993599999999997E-2</v>
      </c>
      <c r="H160" s="20">
        <v>1.6796159999999997E-2</v>
      </c>
      <c r="I160" s="20">
        <v>2.7993599999999997E-2</v>
      </c>
      <c r="J160" s="20">
        <v>1.6796159999999997E-2</v>
      </c>
      <c r="K160" s="20">
        <v>1.0077695999999999E-2</v>
      </c>
      <c r="L160" s="20">
        <v>1.6796159999999997E-2</v>
      </c>
      <c r="M160" s="20">
        <v>1.0077695999999999E-2</v>
      </c>
      <c r="N160" s="20">
        <v>1.0077695999999999E-2</v>
      </c>
      <c r="O160" s="20">
        <v>1.6796159999999997E-2</v>
      </c>
      <c r="P160" s="20">
        <v>1.6796159999999997E-2</v>
      </c>
      <c r="Q160" s="20">
        <v>2.7993599999999997E-2</v>
      </c>
      <c r="R160" s="20">
        <v>1.6796159999999997E-2</v>
      </c>
      <c r="S160" s="20">
        <v>2.7993599999999997E-2</v>
      </c>
      <c r="T160" s="20">
        <v>2.7993599999999997E-2</v>
      </c>
      <c r="U160" s="20">
        <v>4.6655999999999996E-2</v>
      </c>
      <c r="V160" s="20">
        <v>7.7759999999999996E-2</v>
      </c>
      <c r="W160" s="20">
        <v>4.6655999999999996E-2</v>
      </c>
      <c r="X160" s="20">
        <v>4.6655999999999996E-2</v>
      </c>
      <c r="Y160" s="20">
        <v>7.7759999999999996E-2</v>
      </c>
      <c r="Z160" s="20">
        <v>4.6655999999999996E-2</v>
      </c>
      <c r="AA160" s="20">
        <v>7.7759999999999996E-2</v>
      </c>
      <c r="AB160" s="20">
        <v>7.7759999999999996E-2</v>
      </c>
      <c r="AC160" s="20">
        <v>4.6655999999999996E-2</v>
      </c>
      <c r="AD160" s="20">
        <v>4.6655999999999996E-2</v>
      </c>
      <c r="AE160" s="20">
        <v>4.6655999999999996E-2</v>
      </c>
      <c r="AF160" s="20">
        <v>0.12959999999999999</v>
      </c>
      <c r="AG160" s="20">
        <v>0.12959999999999999</v>
      </c>
      <c r="AH160" s="20">
        <v>7.7759999999999996E-2</v>
      </c>
      <c r="AI160" s="20">
        <v>7.7759999999999996E-2</v>
      </c>
      <c r="AJ160" s="20">
        <v>7.7759999999999996E-2</v>
      </c>
      <c r="AK160" s="20">
        <v>0.12959999999999999</v>
      </c>
      <c r="AL160" s="20">
        <v>0.216</v>
      </c>
      <c r="AM160" s="20">
        <v>0.12959999999999999</v>
      </c>
      <c r="AN160" s="20">
        <v>7.7759999999999996E-2</v>
      </c>
      <c r="AO160" s="20">
        <v>0.12959999999999999</v>
      </c>
      <c r="AP160" s="20">
        <v>0.216</v>
      </c>
      <c r="AQ160" s="20">
        <v>0.36</v>
      </c>
      <c r="AR160" s="20">
        <v>0.6</v>
      </c>
      <c r="AS160" s="20">
        <v>1</v>
      </c>
      <c r="AT160" s="20">
        <v>0.6</v>
      </c>
      <c r="AU160" s="20">
        <v>0.6</v>
      </c>
    </row>
    <row r="161" spans="6:47" x14ac:dyDescent="0.25">
      <c r="F161" s="20">
        <v>4.6655999999999996E-2</v>
      </c>
      <c r="G161" s="20">
        <v>2.7993599999999997E-2</v>
      </c>
      <c r="H161" s="20">
        <v>1.6796159999999997E-2</v>
      </c>
      <c r="I161" s="20">
        <v>2.7993599999999997E-2</v>
      </c>
      <c r="J161" s="20">
        <v>1.6796159999999997E-2</v>
      </c>
      <c r="K161" s="20">
        <v>1.0077695999999999E-2</v>
      </c>
      <c r="L161" s="20">
        <v>1.6796159999999997E-2</v>
      </c>
      <c r="M161" s="20">
        <v>1.0077695999999999E-2</v>
      </c>
      <c r="N161" s="20">
        <v>1.0077695999999999E-2</v>
      </c>
      <c r="O161" s="20">
        <v>1.6796159999999997E-2</v>
      </c>
      <c r="P161" s="20">
        <v>1.6796159999999997E-2</v>
      </c>
      <c r="Q161" s="20">
        <v>2.7993599999999997E-2</v>
      </c>
      <c r="R161" s="20">
        <v>1.6796159999999997E-2</v>
      </c>
      <c r="S161" s="20">
        <v>2.7993599999999997E-2</v>
      </c>
      <c r="T161" s="20">
        <v>2.7993599999999997E-2</v>
      </c>
      <c r="U161" s="20">
        <v>4.6655999999999996E-2</v>
      </c>
      <c r="V161" s="20">
        <v>7.7759999999999996E-2</v>
      </c>
      <c r="W161" s="20">
        <v>4.6655999999999996E-2</v>
      </c>
      <c r="X161" s="20">
        <v>4.6655999999999996E-2</v>
      </c>
      <c r="Y161" s="20">
        <v>7.7759999999999996E-2</v>
      </c>
      <c r="Z161" s="20">
        <v>4.6655999999999996E-2</v>
      </c>
      <c r="AA161" s="20">
        <v>7.7759999999999996E-2</v>
      </c>
      <c r="AB161" s="20">
        <v>7.7759999999999996E-2</v>
      </c>
      <c r="AC161" s="20">
        <v>4.6655999999999996E-2</v>
      </c>
      <c r="AD161" s="20">
        <v>4.6655999999999996E-2</v>
      </c>
      <c r="AE161" s="20">
        <v>4.6655999999999996E-2</v>
      </c>
      <c r="AF161" s="20">
        <v>0.12959999999999999</v>
      </c>
      <c r="AG161" s="20">
        <v>0.12959999999999999</v>
      </c>
      <c r="AH161" s="20">
        <v>7.7759999999999996E-2</v>
      </c>
      <c r="AI161" s="20">
        <v>7.7759999999999996E-2</v>
      </c>
      <c r="AJ161" s="20">
        <v>7.7759999999999996E-2</v>
      </c>
      <c r="AK161" s="20">
        <v>0.12959999999999999</v>
      </c>
      <c r="AL161" s="20">
        <v>0.216</v>
      </c>
      <c r="AM161" s="20">
        <v>0.12959999999999999</v>
      </c>
      <c r="AN161" s="20">
        <v>7.7759999999999996E-2</v>
      </c>
      <c r="AO161" s="20">
        <v>0.12959999999999999</v>
      </c>
      <c r="AP161" s="20">
        <v>0.216</v>
      </c>
      <c r="AQ161" s="20">
        <v>0.36</v>
      </c>
      <c r="AR161" s="20">
        <v>0.6</v>
      </c>
      <c r="AS161" s="20">
        <v>0.6</v>
      </c>
      <c r="AT161" s="20">
        <v>1</v>
      </c>
      <c r="AU161" s="20">
        <v>0.6</v>
      </c>
    </row>
    <row r="162" spans="6:47" x14ac:dyDescent="0.25">
      <c r="F162" s="20">
        <v>2.7993599999999997E-2</v>
      </c>
      <c r="G162" s="20">
        <v>1.6796159999999997E-2</v>
      </c>
      <c r="H162" s="20">
        <v>1.0077695999999999E-2</v>
      </c>
      <c r="I162" s="20">
        <v>1.6796159999999997E-2</v>
      </c>
      <c r="J162" s="20">
        <v>1.0077695999999999E-2</v>
      </c>
      <c r="K162" s="20">
        <v>6.0466175999999991E-3</v>
      </c>
      <c r="L162" s="20">
        <v>1.0077695999999999E-2</v>
      </c>
      <c r="M162" s="20">
        <v>6.0466175999999991E-3</v>
      </c>
      <c r="N162" s="20">
        <v>6.0466175999999991E-3</v>
      </c>
      <c r="O162" s="20">
        <v>1.0077695999999999E-2</v>
      </c>
      <c r="P162" s="20">
        <v>1.0077695999999999E-2</v>
      </c>
      <c r="Q162" s="20">
        <v>1.6796159999999997E-2</v>
      </c>
      <c r="R162" s="20">
        <v>1.0077695999999999E-2</v>
      </c>
      <c r="S162" s="20">
        <v>1.6796159999999997E-2</v>
      </c>
      <c r="T162" s="20">
        <v>1.6796159999999997E-2</v>
      </c>
      <c r="U162" s="20">
        <v>2.7993599999999997E-2</v>
      </c>
      <c r="V162" s="20">
        <v>4.6655999999999996E-2</v>
      </c>
      <c r="W162" s="20">
        <v>2.7993599999999997E-2</v>
      </c>
      <c r="X162" s="20">
        <v>2.7993599999999997E-2</v>
      </c>
      <c r="Y162" s="20">
        <v>4.6655999999999996E-2</v>
      </c>
      <c r="Z162" s="20">
        <v>2.7993599999999997E-2</v>
      </c>
      <c r="AA162" s="20">
        <v>4.6655999999999996E-2</v>
      </c>
      <c r="AB162" s="20">
        <v>4.6655999999999996E-2</v>
      </c>
      <c r="AC162" s="20">
        <v>2.7993599999999997E-2</v>
      </c>
      <c r="AD162" s="20">
        <v>2.7993599999999997E-2</v>
      </c>
      <c r="AE162" s="20">
        <v>2.7993599999999997E-2</v>
      </c>
      <c r="AF162" s="20">
        <v>7.7759999999999996E-2</v>
      </c>
      <c r="AG162" s="20">
        <v>7.7759999999999996E-2</v>
      </c>
      <c r="AH162" s="20">
        <v>4.6655999999999996E-2</v>
      </c>
      <c r="AI162" s="20">
        <v>4.6655999999999996E-2</v>
      </c>
      <c r="AJ162" s="20">
        <v>4.6655999999999996E-2</v>
      </c>
      <c r="AK162" s="20">
        <v>7.7759999999999996E-2</v>
      </c>
      <c r="AL162" s="20">
        <v>0.12959999999999999</v>
      </c>
      <c r="AM162" s="20">
        <v>7.7759999999999996E-2</v>
      </c>
      <c r="AN162" s="20">
        <v>4.6655999999999996E-2</v>
      </c>
      <c r="AO162" s="20">
        <v>7.7759999999999996E-2</v>
      </c>
      <c r="AP162" s="20">
        <v>0.12959999999999999</v>
      </c>
      <c r="AQ162" s="20">
        <v>0.216</v>
      </c>
      <c r="AR162" s="20">
        <v>0.36</v>
      </c>
      <c r="AS162" s="20">
        <v>0.6</v>
      </c>
      <c r="AT162" s="20">
        <v>0.6</v>
      </c>
      <c r="AU162" s="20">
        <v>1</v>
      </c>
    </row>
    <row r="164" spans="6:47" x14ac:dyDescent="0.25">
      <c r="F164" s="20">
        <f>SUM(F121:F162)</f>
        <v>8.5060863999999992</v>
      </c>
      <c r="G164" s="20">
        <f t="shared" ref="G164:AU164" si="136">SUM(G121:G162)</f>
        <v>8.5514905599999977</v>
      </c>
      <c r="H164" s="20">
        <f t="shared" si="136"/>
        <v>8.8163676159999973</v>
      </c>
      <c r="I164" s="20">
        <f t="shared" si="136"/>
        <v>8.3821465599999989</v>
      </c>
      <c r="J164" s="20">
        <f t="shared" si="136"/>
        <v>8.6934108159999983</v>
      </c>
      <c r="K164" s="20">
        <f t="shared" si="136"/>
        <v>7.4261149695999951</v>
      </c>
      <c r="L164" s="20">
        <f t="shared" si="136"/>
        <v>8.1988956159999962</v>
      </c>
      <c r="M164" s="20">
        <f t="shared" si="136"/>
        <v>7.6329373695999934</v>
      </c>
      <c r="N164" s="20">
        <f t="shared" si="136"/>
        <v>7.7468317695999938</v>
      </c>
      <c r="O164" s="20">
        <f t="shared" si="136"/>
        <v>7.9992156159999963</v>
      </c>
      <c r="P164" s="20">
        <f t="shared" si="136"/>
        <v>7.1907420159999988</v>
      </c>
      <c r="Q164" s="20">
        <f t="shared" si="136"/>
        <v>9.1254169600000044</v>
      </c>
      <c r="R164" s="20">
        <f t="shared" si="136"/>
        <v>6.3552501760000002</v>
      </c>
      <c r="S164" s="20">
        <f t="shared" si="136"/>
        <v>8.9674393599999984</v>
      </c>
      <c r="T164" s="20">
        <f t="shared" si="136"/>
        <v>9.1878553599999986</v>
      </c>
      <c r="U164" s="20">
        <f t="shared" si="136"/>
        <v>9.4848255999999989</v>
      </c>
      <c r="V164" s="20">
        <f t="shared" si="136"/>
        <v>11.541375999999994</v>
      </c>
      <c r="W164" s="20">
        <f t="shared" si="136"/>
        <v>9.967897599999997</v>
      </c>
      <c r="X164" s="20">
        <f t="shared" si="136"/>
        <v>9.7305855999999977</v>
      </c>
      <c r="Y164" s="20">
        <f t="shared" si="136"/>
        <v>11.041407999999995</v>
      </c>
      <c r="Z164" s="20">
        <f t="shared" si="136"/>
        <v>10.796953599999997</v>
      </c>
      <c r="AA164" s="20">
        <f t="shared" si="136"/>
        <v>9.9957759999999958</v>
      </c>
      <c r="AB164" s="20">
        <f t="shared" si="136"/>
        <v>10.331775999999994</v>
      </c>
      <c r="AC164" s="20">
        <f t="shared" si="136"/>
        <v>8.4547071999999979</v>
      </c>
      <c r="AD164" s="20">
        <f t="shared" si="136"/>
        <v>7.3190655999999965</v>
      </c>
      <c r="AE164" s="20">
        <f t="shared" si="136"/>
        <v>7.0790655999999963</v>
      </c>
      <c r="AF164" s="20">
        <f t="shared" si="136"/>
        <v>10.382847999999996</v>
      </c>
      <c r="AG164" s="20">
        <f t="shared" si="136"/>
        <v>9.6540159999999968</v>
      </c>
      <c r="AH164" s="20">
        <f t="shared" si="136"/>
        <v>8.1240832000000012</v>
      </c>
      <c r="AI164" s="20">
        <f t="shared" si="136"/>
        <v>8.9602815999999983</v>
      </c>
      <c r="AJ164" s="20">
        <f t="shared" si="136"/>
        <v>8.3640831999999996</v>
      </c>
      <c r="AK164" s="20">
        <f t="shared" si="136"/>
        <v>10.882047999999998</v>
      </c>
      <c r="AL164" s="20">
        <f t="shared" si="136"/>
        <v>10.734975999999996</v>
      </c>
      <c r="AM164" s="20">
        <f t="shared" si="136"/>
        <v>9.5406591999999968</v>
      </c>
      <c r="AN164" s="20">
        <f t="shared" si="136"/>
        <v>7.3749913600000001</v>
      </c>
      <c r="AO164" s="20">
        <f t="shared" si="136"/>
        <v>11.398527999999997</v>
      </c>
      <c r="AP164" s="20">
        <f t="shared" si="136"/>
        <v>10.417177599999997</v>
      </c>
      <c r="AQ164" s="20">
        <f t="shared" si="136"/>
        <v>9.0535167999999988</v>
      </c>
      <c r="AR164" s="20">
        <f t="shared" si="136"/>
        <v>7.07051008</v>
      </c>
      <c r="AS164" s="20">
        <f t="shared" si="136"/>
        <v>5.506306047999999</v>
      </c>
      <c r="AT164" s="20">
        <f t="shared" si="136"/>
        <v>5.5063060479999999</v>
      </c>
      <c r="AU164" s="20">
        <f t="shared" si="136"/>
        <v>4.1837836288000005</v>
      </c>
    </row>
    <row r="165" spans="6:47" x14ac:dyDescent="0.25">
      <c r="F165" s="20">
        <f>F164/$AW$114</f>
        <v>0.73700799627358149</v>
      </c>
      <c r="G165" s="20">
        <f t="shared" ref="G165:AU165" si="137">G164/$AW$114</f>
        <v>0.74094202978916912</v>
      </c>
      <c r="H165" s="20">
        <f t="shared" si="137"/>
        <v>0.76389224439096359</v>
      </c>
      <c r="I165" s="20">
        <f t="shared" si="137"/>
        <v>0.7262692559362075</v>
      </c>
      <c r="J165" s="20">
        <f t="shared" si="137"/>
        <v>0.7532386793394481</v>
      </c>
      <c r="K165" s="20">
        <f t="shared" si="137"/>
        <v>0.64343410782215216</v>
      </c>
      <c r="L165" s="20">
        <f t="shared" si="137"/>
        <v>0.71039151796111666</v>
      </c>
      <c r="M165" s="20">
        <f t="shared" si="137"/>
        <v>0.66135418944846758</v>
      </c>
      <c r="N165" s="20">
        <f t="shared" si="137"/>
        <v>0.67122254483347543</v>
      </c>
      <c r="O165" s="20">
        <f t="shared" si="137"/>
        <v>0.69309028802111639</v>
      </c>
      <c r="P165" s="20">
        <f t="shared" si="137"/>
        <v>0.62304026972173876</v>
      </c>
      <c r="Q165" s="20">
        <f t="shared" si="137"/>
        <v>0.79066975722825505</v>
      </c>
      <c r="R165" s="20">
        <f t="shared" si="137"/>
        <v>0.55064926192509489</v>
      </c>
      <c r="S165" s="20">
        <f t="shared" si="137"/>
        <v>0.77698182261803128</v>
      </c>
      <c r="T165" s="20">
        <f t="shared" si="137"/>
        <v>0.79607971874410843</v>
      </c>
      <c r="U165" s="20">
        <f t="shared" si="137"/>
        <v>0.82181064025641337</v>
      </c>
      <c r="V165" s="20">
        <f t="shared" si="137"/>
        <v>1</v>
      </c>
      <c r="W165" s="20">
        <f t="shared" si="137"/>
        <v>0.86366630807279843</v>
      </c>
      <c r="X165" s="20">
        <f t="shared" si="137"/>
        <v>0.84310446172102893</v>
      </c>
      <c r="Y165" s="20">
        <f t="shared" si="137"/>
        <v>0.9566803819579226</v>
      </c>
      <c r="Z165" s="20">
        <f t="shared" si="137"/>
        <v>0.93549968391983784</v>
      </c>
      <c r="AA165" s="20">
        <f t="shared" si="137"/>
        <v>0.86608182594519068</v>
      </c>
      <c r="AB165" s="20">
        <f t="shared" si="137"/>
        <v>0.89519447247884476</v>
      </c>
      <c r="AC165" s="20">
        <f t="shared" si="137"/>
        <v>0.73255625672363522</v>
      </c>
      <c r="AD165" s="20">
        <f t="shared" si="137"/>
        <v>0.63415883859948763</v>
      </c>
      <c r="AE165" s="20">
        <f t="shared" si="137"/>
        <v>0.61336409107544887</v>
      </c>
      <c r="AF165" s="20">
        <f t="shared" si="137"/>
        <v>0.89961959475196029</v>
      </c>
      <c r="AG165" s="20">
        <f t="shared" si="137"/>
        <v>0.83647010547095957</v>
      </c>
      <c r="AH165" s="20">
        <f t="shared" si="137"/>
        <v>0.70390941253451977</v>
      </c>
      <c r="AI165" s="20">
        <f t="shared" si="137"/>
        <v>0.77636164006787434</v>
      </c>
      <c r="AJ165" s="20">
        <f t="shared" si="137"/>
        <v>0.72470416005855831</v>
      </c>
      <c r="AK165" s="20">
        <f t="shared" si="137"/>
        <v>0.94287266960196103</v>
      </c>
      <c r="AL165" s="20">
        <f t="shared" si="137"/>
        <v>0.93012964831922995</v>
      </c>
      <c r="AM165" s="20">
        <f t="shared" si="137"/>
        <v>0.82664833032040563</v>
      </c>
      <c r="AN165" s="20">
        <f t="shared" si="137"/>
        <v>0.63900451384652956</v>
      </c>
      <c r="AO165" s="20">
        <f t="shared" si="137"/>
        <v>0.98762296627369239</v>
      </c>
      <c r="AP165" s="20">
        <f t="shared" si="137"/>
        <v>0.9025940754377989</v>
      </c>
      <c r="AQ165" s="20">
        <f t="shared" si="137"/>
        <v>0.78443998358601286</v>
      </c>
      <c r="AR165" s="20">
        <f t="shared" si="137"/>
        <v>0.61262279991571222</v>
      </c>
      <c r="AS165" s="20">
        <f t="shared" si="137"/>
        <v>0.4770926835760313</v>
      </c>
      <c r="AT165" s="20">
        <f t="shared" si="137"/>
        <v>0.47709268357603135</v>
      </c>
      <c r="AU165" s="20">
        <f t="shared" si="137"/>
        <v>0.36250301773376092</v>
      </c>
    </row>
  </sheetData>
  <conditionalFormatting sqref="F50:AU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AU162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{6BBD7677-7E73-4CBE-B4A9-D3FB3B98858B}</x14:id>
        </ext>
      </extLst>
    </cfRule>
  </conditionalFormatting>
  <conditionalFormatting sqref="F164:AU164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{83E1760B-7C0B-40E5-B44B-B59B056D7BF1}</x14:id>
        </ext>
      </extLst>
    </cfRule>
  </conditionalFormatting>
  <conditionalFormatting sqref="C7:C48">
    <cfRule type="dataBar" priority="1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{38BB3425-633F-44AD-BA1F-F1FFE0BDE571}</x14:id>
        </ext>
      </extLst>
    </cfRule>
  </conditionalFormatting>
  <conditionalFormatting sqref="C60:C65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{A90F3B8C-76D2-4B00-A58C-983D1A37F67B}</x14:id>
        </ext>
      </extLst>
    </cfRule>
  </conditionalFormatting>
  <conditionalFormatting sqref="C53:C58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{98AE7213-A941-4D0E-9D86-CA88F106F85E}</x14:id>
        </ext>
      </extLst>
    </cfRule>
  </conditionalFormatting>
  <conditionalFormatting sqref="F165:AU165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{DDA026D6-8236-4021-B563-59DD6BD6F75F}</x14:id>
        </ext>
      </extLst>
    </cfRule>
  </conditionalFormatting>
  <conditionalFormatting sqref="F71:AU112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{45ADE86C-AA2A-476C-B720-D75CF3372CAD}</x14:id>
        </ext>
      </extLst>
    </cfRule>
  </conditionalFormatting>
  <conditionalFormatting sqref="F114:AU114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{57971905-509B-4DBD-B697-7119F5260501}</x14:id>
        </ext>
      </extLst>
    </cfRule>
  </conditionalFormatting>
  <conditionalFormatting sqref="B60:B65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{8834F79A-9520-49BE-A3DA-2929BEA49A1C}</x14:id>
        </ext>
      </extLst>
    </cfRule>
  </conditionalFormatting>
  <conditionalFormatting sqref="B53:B58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{375D576D-1AB4-4B06-9283-C8A61F339BC1}</x14:id>
        </ext>
      </extLst>
    </cfRule>
  </conditionalFormatting>
  <conditionalFormatting sqref="F69:AU69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{2AB06D70-B83A-4BD3-A120-4EC867E8895A}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BD7677-7E73-4CBE-B4A9-D3FB3B9885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F121:AU162</xm:sqref>
        </x14:conditionalFormatting>
        <x14:conditionalFormatting xmlns:xm="http://schemas.microsoft.com/office/excel/2006/main">
          <x14:cfRule type="dataBar" id="{83E1760B-7C0B-40E5-B44B-B59B056D7B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F164:AU164</xm:sqref>
        </x14:conditionalFormatting>
        <x14:conditionalFormatting xmlns:xm="http://schemas.microsoft.com/office/excel/2006/main">
          <x14:cfRule type="dataBar" id="{38BB3425-633F-44AD-BA1F-F1FFE0BDE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C7:C48</xm:sqref>
        </x14:conditionalFormatting>
        <x14:conditionalFormatting xmlns:xm="http://schemas.microsoft.com/office/excel/2006/main">
          <x14:cfRule type="dataBar" id="{A90F3B8C-76D2-4B00-A58C-983D1A37F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C60:C65</xm:sqref>
        </x14:conditionalFormatting>
        <x14:conditionalFormatting xmlns:xm="http://schemas.microsoft.com/office/excel/2006/main">
          <x14:cfRule type="dataBar" id="{98AE7213-A941-4D0E-9D86-CA88F106F8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C53:C58</xm:sqref>
        </x14:conditionalFormatting>
        <x14:conditionalFormatting xmlns:xm="http://schemas.microsoft.com/office/excel/2006/main">
          <x14:cfRule type="dataBar" id="{DDA026D6-8236-4021-B563-59DD6BD6F7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F165:AU165</xm:sqref>
        </x14:conditionalFormatting>
        <x14:conditionalFormatting xmlns:xm="http://schemas.microsoft.com/office/excel/2006/main">
          <x14:cfRule type="dataBar" id="{45ADE86C-AA2A-476C-B720-D75CF3372C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F71:AU112</xm:sqref>
        </x14:conditionalFormatting>
        <x14:conditionalFormatting xmlns:xm="http://schemas.microsoft.com/office/excel/2006/main">
          <x14:cfRule type="dataBar" id="{57971905-509B-4DBD-B697-7119F52605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F114:AU114</xm:sqref>
        </x14:conditionalFormatting>
        <x14:conditionalFormatting xmlns:xm="http://schemas.microsoft.com/office/excel/2006/main">
          <x14:cfRule type="dataBar" id="{8834F79A-9520-49BE-A3DA-2929BEA49A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B60:B65</xm:sqref>
        </x14:conditionalFormatting>
        <x14:conditionalFormatting xmlns:xm="http://schemas.microsoft.com/office/excel/2006/main">
          <x14:cfRule type="dataBar" id="{375D576D-1AB4-4B06-9283-C8A61F339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B53:B58</xm:sqref>
        </x14:conditionalFormatting>
        <x14:conditionalFormatting xmlns:xm="http://schemas.microsoft.com/office/excel/2006/main">
          <x14:cfRule type="dataBar" id="{2AB06D70-B83A-4BD3-A120-4EC867E889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F69:AU69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C1:AU99"/>
  <sheetViews>
    <sheetView workbookViewId="0"/>
  </sheetViews>
  <sheetFormatPr defaultRowHeight="15" x14ac:dyDescent="0.25"/>
  <cols>
    <col min="6" max="7" width="4.5703125" customWidth="1"/>
    <col min="8" max="8" width="12.140625" bestFit="1" customWidth="1"/>
    <col min="9" max="47" width="4.5703125" customWidth="1"/>
  </cols>
  <sheetData>
    <row r="1" spans="6:47" ht="14.45" x14ac:dyDescent="0.3">
      <c r="F1">
        <v>8.5060863999999992</v>
      </c>
      <c r="G1">
        <v>10.227276799999997</v>
      </c>
      <c r="H1">
        <v>9.7285273599999957</v>
      </c>
      <c r="I1">
        <v>10.089036799999995</v>
      </c>
      <c r="J1">
        <v>9.6366745599999941</v>
      </c>
      <c r="K1">
        <v>7.9734108159999959</v>
      </c>
      <c r="L1">
        <v>9.2043673599999938</v>
      </c>
      <c r="M1">
        <v>8.1988956159999962</v>
      </c>
      <c r="N1">
        <v>8.2941276159999973</v>
      </c>
      <c r="O1">
        <v>8.261871615999997</v>
      </c>
      <c r="P1">
        <v>7.3483356159999955</v>
      </c>
      <c r="Q1">
        <v>9.2270233600000022</v>
      </c>
      <c r="R1">
        <v>6.4162140159999996</v>
      </c>
      <c r="S1">
        <v>9.4051993599999992</v>
      </c>
      <c r="T1">
        <v>9.3571993599999992</v>
      </c>
      <c r="U1">
        <v>9.6230655999999986</v>
      </c>
      <c r="V1">
        <v>11.593215999999995</v>
      </c>
      <c r="W1">
        <v>10.050841599999996</v>
      </c>
      <c r="X1">
        <v>9.7824255999999981</v>
      </c>
      <c r="Y1">
        <v>11.072511999999994</v>
      </c>
      <c r="Z1">
        <v>10.828057599999996</v>
      </c>
      <c r="AA1">
        <v>10.026879999999997</v>
      </c>
      <c r="AB1">
        <v>10.362879999999993</v>
      </c>
      <c r="AC1">
        <v>8.4733695999999981</v>
      </c>
      <c r="AD1">
        <v>7.3377279999999958</v>
      </c>
      <c r="AE1">
        <v>7.0977279999999965</v>
      </c>
      <c r="AF1">
        <v>10.604031999999997</v>
      </c>
      <c r="AG1">
        <v>10.219647999999996</v>
      </c>
      <c r="AH1">
        <v>9.1684095999999986</v>
      </c>
      <c r="AI1">
        <v>10.885375999999992</v>
      </c>
      <c r="AJ1">
        <v>9.408409599999997</v>
      </c>
      <c r="AK1">
        <v>11.103231999999998</v>
      </c>
      <c r="AL1">
        <v>11.300607999999997</v>
      </c>
      <c r="AM1">
        <v>10.584985599999996</v>
      </c>
      <c r="AN1">
        <v>8.4802815999999996</v>
      </c>
      <c r="AO1">
        <v>11.481471999999997</v>
      </c>
      <c r="AP1">
        <v>10.688127999999999</v>
      </c>
      <c r="AQ1">
        <v>9.3928959999999986</v>
      </c>
      <c r="AR1">
        <v>7.2741375999999995</v>
      </c>
      <c r="AS1">
        <v>5.6284825600000001</v>
      </c>
      <c r="AT1">
        <v>5.6284825600000001</v>
      </c>
      <c r="AU1">
        <v>4.2570895360000005</v>
      </c>
    </row>
    <row r="2" spans="6:47" ht="14.45" x14ac:dyDescent="0.3">
      <c r="F2">
        <v>10.227276799999997</v>
      </c>
      <c r="G2">
        <v>8.5514905599999977</v>
      </c>
      <c r="H2">
        <v>10.368527359999998</v>
      </c>
      <c r="I2">
        <v>9.5566745599999958</v>
      </c>
      <c r="J2">
        <v>10.036674559999994</v>
      </c>
      <c r="K2">
        <v>8.2134108159999979</v>
      </c>
      <c r="L2">
        <v>8.4388956159999964</v>
      </c>
      <c r="M2">
        <v>8.4388956159999982</v>
      </c>
      <c r="N2">
        <v>7.8908317695999939</v>
      </c>
      <c r="O2">
        <v>8.0856156159999966</v>
      </c>
      <c r="P2">
        <v>7.2425820159999983</v>
      </c>
      <c r="Q2">
        <v>9.1772569600000029</v>
      </c>
      <c r="R2">
        <v>6.3863541760000002</v>
      </c>
      <c r="S2">
        <v>9.7891993599999978</v>
      </c>
      <c r="T2">
        <v>9.5875993599999969</v>
      </c>
      <c r="U2">
        <v>9.8534655999999998</v>
      </c>
      <c r="V2">
        <v>11.731455999999996</v>
      </c>
      <c r="W2">
        <v>10.189081599999996</v>
      </c>
      <c r="X2">
        <v>9.9206655999999978</v>
      </c>
      <c r="Y2">
        <v>11.155455999999996</v>
      </c>
      <c r="Z2">
        <v>10.879897599999996</v>
      </c>
      <c r="AA2">
        <v>10.026879999999997</v>
      </c>
      <c r="AB2">
        <v>10.362879999999993</v>
      </c>
      <c r="AC2">
        <v>8.504473599999999</v>
      </c>
      <c r="AD2">
        <v>7.3377279999999958</v>
      </c>
      <c r="AE2">
        <v>7.0977279999999965</v>
      </c>
      <c r="AF2">
        <v>10.434687999999996</v>
      </c>
      <c r="AG2">
        <v>9.9063039999999969</v>
      </c>
      <c r="AH2">
        <v>8.5964031999999992</v>
      </c>
      <c r="AI2">
        <v>9.8822655999999949</v>
      </c>
      <c r="AJ2">
        <v>8.8364031999999977</v>
      </c>
      <c r="AK2">
        <v>10.933887999999998</v>
      </c>
      <c r="AL2">
        <v>10.987263999999996</v>
      </c>
      <c r="AM2">
        <v>10.012979199999997</v>
      </c>
      <c r="AN2">
        <v>7.87841536</v>
      </c>
      <c r="AO2">
        <v>11.481471999999997</v>
      </c>
      <c r="AP2">
        <v>10.518783999999998</v>
      </c>
      <c r="AQ2">
        <v>9.2048895999999996</v>
      </c>
      <c r="AR2">
        <v>7.1613337599999998</v>
      </c>
      <c r="AS2">
        <v>5.5608002559999994</v>
      </c>
      <c r="AT2">
        <v>5.5608002560000003</v>
      </c>
      <c r="AU2">
        <v>4.2164801536000001</v>
      </c>
    </row>
    <row r="3" spans="6:47" ht="14.45" x14ac:dyDescent="0.3">
      <c r="F3">
        <v>9.4432767999999978</v>
      </c>
      <c r="G3">
        <v>10.368527359999998</v>
      </c>
      <c r="H3">
        <v>8.8163676159999973</v>
      </c>
      <c r="I3">
        <v>9.1566745599999972</v>
      </c>
      <c r="J3">
        <v>10.301551615999998</v>
      </c>
      <c r="K3">
        <v>9.8215516159999989</v>
      </c>
      <c r="L3">
        <v>9.0045276159999972</v>
      </c>
      <c r="M3">
        <v>8.4572317695999963</v>
      </c>
      <c r="N3">
        <v>8.0809117695999948</v>
      </c>
      <c r="O3">
        <v>8.1374556159999969</v>
      </c>
      <c r="P3">
        <v>7.2425820159999983</v>
      </c>
      <c r="Q3">
        <v>9.1772569600000029</v>
      </c>
      <c r="R3">
        <v>6.3863541760000002</v>
      </c>
      <c r="S3">
        <v>11.095439359999995</v>
      </c>
      <c r="T3">
        <v>10.340239359999996</v>
      </c>
      <c r="U3">
        <v>10.606105599999998</v>
      </c>
      <c r="V3">
        <v>12.151935999999996</v>
      </c>
      <c r="W3">
        <v>10.609561599999994</v>
      </c>
      <c r="X3">
        <v>10.341145599999995</v>
      </c>
      <c r="Y3">
        <v>11.345535999999994</v>
      </c>
      <c r="Z3">
        <v>11.069977599999996</v>
      </c>
      <c r="AA3">
        <v>10.140927999999995</v>
      </c>
      <c r="AB3">
        <v>10.476927999999994</v>
      </c>
      <c r="AC3">
        <v>8.6185215999999976</v>
      </c>
      <c r="AD3">
        <v>7.4061567999999962</v>
      </c>
      <c r="AE3">
        <v>7.166156799999996</v>
      </c>
      <c r="AF3">
        <v>10.686975999999996</v>
      </c>
      <c r="AG3">
        <v>9.7369599999999963</v>
      </c>
      <c r="AH3">
        <v>8.3141632000000012</v>
      </c>
      <c r="AI3">
        <v>9.4118655999999987</v>
      </c>
      <c r="AJ3">
        <v>8.5541631999999996</v>
      </c>
      <c r="AK3">
        <v>11.186175999999998</v>
      </c>
      <c r="AL3">
        <v>10.817919999999997</v>
      </c>
      <c r="AM3">
        <v>9.7307391999999968</v>
      </c>
      <c r="AN3">
        <v>7.5961753600000002</v>
      </c>
      <c r="AO3">
        <v>11.733759999999997</v>
      </c>
      <c r="AP3">
        <v>10.549887999999999</v>
      </c>
      <c r="AQ3">
        <v>9.1032831999999981</v>
      </c>
      <c r="AR3">
        <v>7.1003699199999994</v>
      </c>
      <c r="AS3">
        <v>5.5242219519999995</v>
      </c>
      <c r="AT3">
        <v>5.5242219519999995</v>
      </c>
      <c r="AU3">
        <v>4.1945331711999998</v>
      </c>
    </row>
    <row r="4" spans="6:47" ht="14.45" x14ac:dyDescent="0.3">
      <c r="F4">
        <v>10.089036799999995</v>
      </c>
      <c r="G4">
        <v>9.5566745599999958</v>
      </c>
      <c r="H4">
        <v>9.0563676159999975</v>
      </c>
      <c r="I4">
        <v>8.3821465599999989</v>
      </c>
      <c r="J4">
        <v>10.036674559999993</v>
      </c>
      <c r="K4">
        <v>8.2134108159999979</v>
      </c>
      <c r="L4">
        <v>9.8443673599999926</v>
      </c>
      <c r="M4">
        <v>8.4388956159999982</v>
      </c>
      <c r="N4">
        <v>8.6781276159999976</v>
      </c>
      <c r="O4">
        <v>8.4922716159999982</v>
      </c>
      <c r="P4">
        <v>7.4865756159999961</v>
      </c>
      <c r="Q4">
        <v>9.3652633600000019</v>
      </c>
      <c r="R4">
        <v>6.4991580159999991</v>
      </c>
      <c r="S4">
        <v>9.1114393599999985</v>
      </c>
      <c r="T4">
        <v>9.2742553599999997</v>
      </c>
      <c r="U4">
        <v>9.5712255999999982</v>
      </c>
      <c r="V4">
        <v>11.593215999999995</v>
      </c>
      <c r="W4">
        <v>10.019737599999997</v>
      </c>
      <c r="X4">
        <v>9.7824255999999981</v>
      </c>
      <c r="Y4">
        <v>11.072511999999994</v>
      </c>
      <c r="Z4">
        <v>10.879897599999996</v>
      </c>
      <c r="AA4">
        <v>10.026879999999997</v>
      </c>
      <c r="AB4">
        <v>10.362879999999993</v>
      </c>
      <c r="AC4">
        <v>8.504473599999999</v>
      </c>
      <c r="AD4">
        <v>7.3377279999999958</v>
      </c>
      <c r="AE4">
        <v>7.0977279999999965</v>
      </c>
      <c r="AF4">
        <v>10.465791999999997</v>
      </c>
      <c r="AG4">
        <v>9.937407999999996</v>
      </c>
      <c r="AH4">
        <v>8.6461695999999986</v>
      </c>
      <c r="AI4">
        <v>9.8801919999999956</v>
      </c>
      <c r="AJ4">
        <v>8.8861695999999988</v>
      </c>
      <c r="AK4">
        <v>10.964991999999999</v>
      </c>
      <c r="AL4">
        <v>11.018367999999997</v>
      </c>
      <c r="AM4">
        <v>10.062745599999996</v>
      </c>
      <c r="AN4">
        <v>7.9269375999999996</v>
      </c>
      <c r="AO4">
        <v>11.429631999999996</v>
      </c>
      <c r="AP4">
        <v>10.549887999999999</v>
      </c>
      <c r="AQ4">
        <v>9.2235519999999998</v>
      </c>
      <c r="AR4">
        <v>7.1725311999999999</v>
      </c>
      <c r="AS4">
        <v>5.5675187199999989</v>
      </c>
      <c r="AT4">
        <v>5.5675187199999998</v>
      </c>
      <c r="AU4">
        <v>4.2205112319999998</v>
      </c>
    </row>
    <row r="5" spans="6:47" ht="14.45" x14ac:dyDescent="0.3">
      <c r="F5">
        <v>9.0340863999999979</v>
      </c>
      <c r="G5">
        <v>10.036674559999994</v>
      </c>
      <c r="H5">
        <v>10.301551615999998</v>
      </c>
      <c r="I5">
        <v>10.036674559999993</v>
      </c>
      <c r="J5">
        <v>8.6934108159999983</v>
      </c>
      <c r="K5">
        <v>9.0934108159999969</v>
      </c>
      <c r="L5">
        <v>9.884527615999998</v>
      </c>
      <c r="M5">
        <v>9.8845276159999997</v>
      </c>
      <c r="N5">
        <v>8.4649117695999969</v>
      </c>
      <c r="O5">
        <v>8.3678556159999982</v>
      </c>
      <c r="P5">
        <v>7.3808220159999989</v>
      </c>
      <c r="Q5">
        <v>9.3154969600000026</v>
      </c>
      <c r="R5">
        <v>6.4692981759999997</v>
      </c>
      <c r="S5">
        <v>9.7776793599999969</v>
      </c>
      <c r="T5">
        <v>9.6428953599999989</v>
      </c>
      <c r="U5">
        <v>9.9398655999999992</v>
      </c>
      <c r="V5">
        <v>11.783295999999995</v>
      </c>
      <c r="W5">
        <v>10.209817599999996</v>
      </c>
      <c r="X5">
        <v>9.9725055999999981</v>
      </c>
      <c r="Y5">
        <v>11.124351999999995</v>
      </c>
      <c r="Z5">
        <v>10.848793599999995</v>
      </c>
      <c r="AA5">
        <v>10.026879999999997</v>
      </c>
      <c r="AB5">
        <v>10.362879999999993</v>
      </c>
      <c r="AC5">
        <v>8.4858111999999988</v>
      </c>
      <c r="AD5">
        <v>7.3377279999999958</v>
      </c>
      <c r="AE5">
        <v>7.0977279999999965</v>
      </c>
      <c r="AF5">
        <v>10.496895999999996</v>
      </c>
      <c r="AG5">
        <v>9.7680639999999972</v>
      </c>
      <c r="AH5">
        <v>8.3141632000000012</v>
      </c>
      <c r="AI5">
        <v>9.2770815999999989</v>
      </c>
      <c r="AJ5">
        <v>8.5541631999999996</v>
      </c>
      <c r="AK5">
        <v>10.996095999999998</v>
      </c>
      <c r="AL5">
        <v>10.849023999999996</v>
      </c>
      <c r="AM5">
        <v>9.7307391999999968</v>
      </c>
      <c r="AN5">
        <v>7.5650713600000001</v>
      </c>
      <c r="AO5">
        <v>11.543679999999997</v>
      </c>
      <c r="AP5">
        <v>10.466944</v>
      </c>
      <c r="AQ5">
        <v>9.1219455999999983</v>
      </c>
      <c r="AR5">
        <v>7.1115673599999996</v>
      </c>
      <c r="AS5">
        <v>5.530940416</v>
      </c>
      <c r="AT5">
        <v>5.530940416</v>
      </c>
      <c r="AU5">
        <v>4.1985642496000004</v>
      </c>
    </row>
    <row r="6" spans="6:47" ht="14.45" x14ac:dyDescent="0.3">
      <c r="F6">
        <v>8.6500863999999975</v>
      </c>
      <c r="G6">
        <v>8.791490559999998</v>
      </c>
      <c r="H6">
        <v>9.8215516159999989</v>
      </c>
      <c r="I6">
        <v>8.6221465599999974</v>
      </c>
      <c r="J6">
        <v>9.0934108159999969</v>
      </c>
      <c r="K6">
        <v>7.4261149695999951</v>
      </c>
      <c r="L6">
        <v>8.4388956159999982</v>
      </c>
      <c r="M6">
        <v>8.8572317695999967</v>
      </c>
      <c r="N6">
        <v>8.320911769599995</v>
      </c>
      <c r="O6">
        <v>8.281455615999997</v>
      </c>
      <c r="P6">
        <v>7.3289820159999985</v>
      </c>
      <c r="Q6">
        <v>9.2636569600000023</v>
      </c>
      <c r="R6">
        <v>6.4381941760000005</v>
      </c>
      <c r="S6">
        <v>9.4896793599999967</v>
      </c>
      <c r="T6">
        <v>9.4700953599999984</v>
      </c>
      <c r="U6">
        <v>9.7670655999999987</v>
      </c>
      <c r="V6">
        <v>11.679615999999996</v>
      </c>
      <c r="W6">
        <v>10.106137599999997</v>
      </c>
      <c r="X6">
        <v>9.8688255999999992</v>
      </c>
      <c r="Y6">
        <v>11.093247999999996</v>
      </c>
      <c r="Z6">
        <v>10.848793599999995</v>
      </c>
      <c r="AA6">
        <v>10.026879999999997</v>
      </c>
      <c r="AB6">
        <v>10.362879999999993</v>
      </c>
      <c r="AC6">
        <v>8.4858111999999988</v>
      </c>
      <c r="AD6">
        <v>7.3377279999999958</v>
      </c>
      <c r="AE6">
        <v>7.0977279999999965</v>
      </c>
      <c r="AF6">
        <v>10.465791999999997</v>
      </c>
      <c r="AG6">
        <v>9.685119999999996</v>
      </c>
      <c r="AH6">
        <v>8.1759232000000015</v>
      </c>
      <c r="AI6">
        <v>9.0466815999999977</v>
      </c>
      <c r="AJ6">
        <v>8.4159231999999999</v>
      </c>
      <c r="AK6">
        <v>10.964991999999999</v>
      </c>
      <c r="AL6">
        <v>10.766079999999997</v>
      </c>
      <c r="AM6">
        <v>9.5924991999999971</v>
      </c>
      <c r="AN6">
        <v>7.4268313599999995</v>
      </c>
      <c r="AO6">
        <v>11.481471999999997</v>
      </c>
      <c r="AP6">
        <v>10.466944</v>
      </c>
      <c r="AQ6">
        <v>9.072179199999999</v>
      </c>
      <c r="AR6">
        <v>7.0817075199999993</v>
      </c>
      <c r="AS6">
        <v>5.5130245119999994</v>
      </c>
      <c r="AT6">
        <v>5.5130245119999994</v>
      </c>
      <c r="AU6">
        <v>4.1878147072000003</v>
      </c>
    </row>
    <row r="7" spans="6:47" ht="14.45" x14ac:dyDescent="0.3">
      <c r="F7">
        <v>9.3050367999999963</v>
      </c>
      <c r="G7">
        <v>9.1566745599999972</v>
      </c>
      <c r="H7">
        <v>9.4215516159999986</v>
      </c>
      <c r="I7">
        <v>9.8443673599999926</v>
      </c>
      <c r="J7">
        <v>9.884527615999998</v>
      </c>
      <c r="K7">
        <v>7.6661149695999953</v>
      </c>
      <c r="L7">
        <v>8.1988956159999962</v>
      </c>
      <c r="M7">
        <v>8.8388956159999985</v>
      </c>
      <c r="N7">
        <v>9.6522076160000001</v>
      </c>
      <c r="O7">
        <v>9.0145116160000001</v>
      </c>
      <c r="P7">
        <v>7.7688156159999959</v>
      </c>
      <c r="Q7">
        <v>9.6475033600000017</v>
      </c>
      <c r="R7">
        <v>6.6685020159999997</v>
      </c>
      <c r="S7">
        <v>9.2496793599999982</v>
      </c>
      <c r="T7">
        <v>9.3260953600000001</v>
      </c>
      <c r="U7">
        <v>9.6230655999999986</v>
      </c>
      <c r="V7">
        <v>11.593215999999995</v>
      </c>
      <c r="W7">
        <v>10.019737599999997</v>
      </c>
      <c r="X7">
        <v>9.7824255999999981</v>
      </c>
      <c r="Y7">
        <v>11.124351999999995</v>
      </c>
      <c r="Z7">
        <v>11.018137599999996</v>
      </c>
      <c r="AA7">
        <v>10.109823999999996</v>
      </c>
      <c r="AB7">
        <v>10.445823999999995</v>
      </c>
      <c r="AC7">
        <v>8.5874175999999967</v>
      </c>
      <c r="AD7">
        <v>7.387494399999996</v>
      </c>
      <c r="AE7">
        <v>7.1474943999999967</v>
      </c>
      <c r="AF7">
        <v>10.413951999999997</v>
      </c>
      <c r="AG7">
        <v>9.7680639999999954</v>
      </c>
      <c r="AH7">
        <v>8.3639296000000005</v>
      </c>
      <c r="AI7">
        <v>9.4097919999999995</v>
      </c>
      <c r="AJ7">
        <v>8.603929599999999</v>
      </c>
      <c r="AK7">
        <v>10.913151999999998</v>
      </c>
      <c r="AL7">
        <v>10.849023999999996</v>
      </c>
      <c r="AM7">
        <v>9.7805055999999961</v>
      </c>
      <c r="AN7">
        <v>7.6446975999999998</v>
      </c>
      <c r="AO7">
        <v>11.429631999999996</v>
      </c>
      <c r="AP7">
        <v>10.466944</v>
      </c>
      <c r="AQ7">
        <v>9.1219455999999983</v>
      </c>
      <c r="AR7">
        <v>7.1115673599999996</v>
      </c>
      <c r="AS7">
        <v>5.530940416</v>
      </c>
      <c r="AT7">
        <v>5.530940416</v>
      </c>
      <c r="AU7">
        <v>4.1985642496000004</v>
      </c>
    </row>
    <row r="8" spans="6:47" ht="14.45" x14ac:dyDescent="0.3">
      <c r="F8">
        <v>8.6500863999999975</v>
      </c>
      <c r="G8">
        <v>9.1566745599999972</v>
      </c>
      <c r="H8">
        <v>9.4215516159999968</v>
      </c>
      <c r="I8">
        <v>8.6221465599999974</v>
      </c>
      <c r="J8">
        <v>9.8845276159999997</v>
      </c>
      <c r="K8">
        <v>8.8572317695999967</v>
      </c>
      <c r="L8">
        <v>8.8388956159999985</v>
      </c>
      <c r="M8">
        <v>7.6329373695999934</v>
      </c>
      <c r="N8">
        <v>9.1049117695999993</v>
      </c>
      <c r="O8">
        <v>8.7518556160000021</v>
      </c>
      <c r="P8">
        <v>7.6112220159999984</v>
      </c>
      <c r="Q8">
        <v>9.5458969600000021</v>
      </c>
      <c r="R8">
        <v>6.6075381760000003</v>
      </c>
      <c r="S8">
        <v>9.2496793599999982</v>
      </c>
      <c r="T8">
        <v>9.3260953600000001</v>
      </c>
      <c r="U8">
        <v>9.6230655999999986</v>
      </c>
      <c r="V8">
        <v>11.593215999999995</v>
      </c>
      <c r="W8">
        <v>10.019737599999997</v>
      </c>
      <c r="X8">
        <v>9.7824255999999981</v>
      </c>
      <c r="Y8">
        <v>11.093247999999996</v>
      </c>
      <c r="Z8">
        <v>10.987033599999995</v>
      </c>
      <c r="AA8">
        <v>10.109823999999996</v>
      </c>
      <c r="AB8">
        <v>10.445823999999995</v>
      </c>
      <c r="AC8">
        <v>8.5687551999999965</v>
      </c>
      <c r="AD8">
        <v>7.387494399999996</v>
      </c>
      <c r="AE8">
        <v>7.1474943999999967</v>
      </c>
      <c r="AF8">
        <v>10.413951999999997</v>
      </c>
      <c r="AG8">
        <v>9.685119999999996</v>
      </c>
      <c r="AH8">
        <v>8.1759232000000015</v>
      </c>
      <c r="AI8">
        <v>9.0466815999999977</v>
      </c>
      <c r="AJ8">
        <v>8.4159231999999999</v>
      </c>
      <c r="AK8">
        <v>10.913151999999998</v>
      </c>
      <c r="AL8">
        <v>10.766079999999997</v>
      </c>
      <c r="AM8">
        <v>9.5924991999999971</v>
      </c>
      <c r="AN8">
        <v>7.4268313599999995</v>
      </c>
      <c r="AO8">
        <v>11.429631999999996</v>
      </c>
      <c r="AP8">
        <v>10.435839999999999</v>
      </c>
      <c r="AQ8">
        <v>9.072179199999999</v>
      </c>
      <c r="AR8">
        <v>7.0817075199999993</v>
      </c>
      <c r="AS8">
        <v>5.5130245119999994</v>
      </c>
      <c r="AT8">
        <v>5.5130245119999994</v>
      </c>
      <c r="AU8">
        <v>4.1878147072000003</v>
      </c>
    </row>
    <row r="9" spans="6:47" ht="14.45" x14ac:dyDescent="0.3">
      <c r="F9">
        <v>8.9210367999999978</v>
      </c>
      <c r="G9">
        <v>8.9166745599999988</v>
      </c>
      <c r="H9">
        <v>9.1815516159999984</v>
      </c>
      <c r="I9">
        <v>9.2043673599999956</v>
      </c>
      <c r="J9">
        <v>9.4845276159999994</v>
      </c>
      <c r="K9">
        <v>8.2172317695999944</v>
      </c>
      <c r="L9">
        <v>9.6522076160000001</v>
      </c>
      <c r="M9">
        <v>9.1049117695999993</v>
      </c>
      <c r="N9">
        <v>7.7468317695999938</v>
      </c>
      <c r="O9">
        <v>9.7985116159999972</v>
      </c>
      <c r="P9">
        <v>8.2392156159999974</v>
      </c>
      <c r="Q9">
        <v>10.11790336</v>
      </c>
      <c r="R9">
        <v>6.9507420159999986</v>
      </c>
      <c r="S9">
        <v>9.1056793599999981</v>
      </c>
      <c r="T9">
        <v>9.2396953599999989</v>
      </c>
      <c r="U9">
        <v>9.5366655999999992</v>
      </c>
      <c r="V9">
        <v>11.593215999999995</v>
      </c>
      <c r="W9">
        <v>10.157977599999997</v>
      </c>
      <c r="X9">
        <v>9.7824255999999981</v>
      </c>
      <c r="Y9">
        <v>11.262591999999994</v>
      </c>
      <c r="Z9">
        <v>11.300377599999996</v>
      </c>
      <c r="AA9">
        <v>10.279167999999995</v>
      </c>
      <c r="AB9">
        <v>10.615167999999993</v>
      </c>
      <c r="AC9">
        <v>8.7567615999999973</v>
      </c>
      <c r="AD9">
        <v>7.4891007999999966</v>
      </c>
      <c r="AE9">
        <v>7.2491007999999963</v>
      </c>
      <c r="AF9">
        <v>10.413951999999997</v>
      </c>
      <c r="AG9">
        <v>9.685119999999996</v>
      </c>
      <c r="AH9">
        <v>8.2256896000000008</v>
      </c>
      <c r="AI9">
        <v>9.1793919999999982</v>
      </c>
      <c r="AJ9">
        <v>8.4656895999999993</v>
      </c>
      <c r="AK9">
        <v>10.913151999999998</v>
      </c>
      <c r="AL9">
        <v>10.766079999999997</v>
      </c>
      <c r="AM9">
        <v>9.6422655999999964</v>
      </c>
      <c r="AN9">
        <v>7.5064576000000001</v>
      </c>
      <c r="AO9">
        <v>11.512575999999997</v>
      </c>
      <c r="AP9">
        <v>10.466944</v>
      </c>
      <c r="AQ9">
        <v>9.072179199999999</v>
      </c>
      <c r="AR9">
        <v>7.0817075199999993</v>
      </c>
      <c r="AS9">
        <v>5.5130245119999994</v>
      </c>
      <c r="AT9">
        <v>5.5130245119999994</v>
      </c>
      <c r="AU9">
        <v>4.1878147072000003</v>
      </c>
    </row>
    <row r="10" spans="6:47" ht="14.45" x14ac:dyDescent="0.3">
      <c r="F10">
        <v>8.7770367999999976</v>
      </c>
      <c r="G10">
        <v>8.7726745599999987</v>
      </c>
      <c r="H10">
        <v>9.0375516159999982</v>
      </c>
      <c r="I10">
        <v>8.9643673599999971</v>
      </c>
      <c r="J10">
        <v>9.2445276159999974</v>
      </c>
      <c r="K10">
        <v>7.977231769599995</v>
      </c>
      <c r="L10">
        <v>9.2522076159999997</v>
      </c>
      <c r="M10">
        <v>8.7049117695999971</v>
      </c>
      <c r="N10">
        <v>9.7985116159999972</v>
      </c>
      <c r="O10">
        <v>7.9992156159999963</v>
      </c>
      <c r="P10">
        <v>8.6392156159999995</v>
      </c>
      <c r="Q10">
        <v>10.517903359999998</v>
      </c>
      <c r="R10">
        <v>7.1907420159999988</v>
      </c>
      <c r="S10">
        <v>9.019279359999997</v>
      </c>
      <c r="T10">
        <v>9.3260953600000001</v>
      </c>
      <c r="U10">
        <v>9.5366655999999992</v>
      </c>
      <c r="V10">
        <v>11.679615999999996</v>
      </c>
      <c r="W10">
        <v>10.301977599999997</v>
      </c>
      <c r="X10">
        <v>9.8688255999999992</v>
      </c>
      <c r="Y10">
        <v>11.406591999999995</v>
      </c>
      <c r="Z10">
        <v>11.540377599999996</v>
      </c>
      <c r="AA10">
        <v>10.423167999999995</v>
      </c>
      <c r="AB10">
        <v>10.759167999999994</v>
      </c>
      <c r="AC10">
        <v>8.9007615999999974</v>
      </c>
      <c r="AD10">
        <v>7.5755007999999968</v>
      </c>
      <c r="AE10">
        <v>7.3355007999999966</v>
      </c>
      <c r="AF10">
        <v>10.465791999999997</v>
      </c>
      <c r="AG10">
        <v>9.685119999999996</v>
      </c>
      <c r="AH10">
        <v>8.1738496000000005</v>
      </c>
      <c r="AI10">
        <v>9.0929919999999989</v>
      </c>
      <c r="AJ10">
        <v>8.4138496000000007</v>
      </c>
      <c r="AK10">
        <v>10.964991999999999</v>
      </c>
      <c r="AL10">
        <v>10.766079999999997</v>
      </c>
      <c r="AM10">
        <v>9.5904255999999961</v>
      </c>
      <c r="AN10">
        <v>7.4546175999999997</v>
      </c>
      <c r="AO10">
        <v>11.598975999999997</v>
      </c>
      <c r="AP10">
        <v>10.518783999999998</v>
      </c>
      <c r="AQ10">
        <v>9.1032831999999981</v>
      </c>
      <c r="AR10">
        <v>7.1003699199999994</v>
      </c>
      <c r="AS10">
        <v>5.5242219519999995</v>
      </c>
      <c r="AT10">
        <v>5.5242219519999995</v>
      </c>
      <c r="AU10">
        <v>4.1945331711999998</v>
      </c>
    </row>
    <row r="11" spans="6:47" ht="14.45" x14ac:dyDescent="0.3">
      <c r="F11">
        <v>8.5890303999999986</v>
      </c>
      <c r="G11">
        <v>8.6344345599999972</v>
      </c>
      <c r="H11">
        <v>8.8993116159999985</v>
      </c>
      <c r="I11">
        <v>8.5203865599999986</v>
      </c>
      <c r="J11">
        <v>8.831650815999998</v>
      </c>
      <c r="K11">
        <v>7.5643549695999956</v>
      </c>
      <c r="L11">
        <v>8.4292956159999974</v>
      </c>
      <c r="M11">
        <v>7.8633373695999937</v>
      </c>
      <c r="N11">
        <v>8.1308317695999932</v>
      </c>
      <c r="O11">
        <v>8.6392156159999995</v>
      </c>
      <c r="P11">
        <v>7.1907420159999988</v>
      </c>
      <c r="Q11">
        <v>9.5254169600000012</v>
      </c>
      <c r="R11">
        <v>7.5907420159999983</v>
      </c>
      <c r="S11">
        <v>9.019279359999997</v>
      </c>
      <c r="T11">
        <v>9.2742553599999997</v>
      </c>
      <c r="U11">
        <v>9.5366655999999992</v>
      </c>
      <c r="V11">
        <v>11.627775999999995</v>
      </c>
      <c r="W11">
        <v>10.111897599999997</v>
      </c>
      <c r="X11">
        <v>9.8169855999999989</v>
      </c>
      <c r="Y11">
        <v>11.185407999999994</v>
      </c>
      <c r="Z11">
        <v>11.036953599999997</v>
      </c>
      <c r="AA11">
        <v>10.139775999999996</v>
      </c>
      <c r="AB11">
        <v>10.475775999999994</v>
      </c>
      <c r="AC11">
        <v>8.598707199999998</v>
      </c>
      <c r="AD11">
        <v>7.4054655999999968</v>
      </c>
      <c r="AE11">
        <v>7.1654655999999965</v>
      </c>
      <c r="AF11">
        <v>10.434687999999996</v>
      </c>
      <c r="AG11">
        <v>9.685119999999996</v>
      </c>
      <c r="AH11">
        <v>8.1427456000000014</v>
      </c>
      <c r="AI11">
        <v>9.0100479999999976</v>
      </c>
      <c r="AJ11">
        <v>8.3827455999999998</v>
      </c>
      <c r="AK11">
        <v>10.933887999999998</v>
      </c>
      <c r="AL11">
        <v>10.766079999999997</v>
      </c>
      <c r="AM11">
        <v>9.559321599999997</v>
      </c>
      <c r="AN11">
        <v>7.4048511999999995</v>
      </c>
      <c r="AO11">
        <v>11.484927999999996</v>
      </c>
      <c r="AP11">
        <v>10.469017599999999</v>
      </c>
      <c r="AQ11">
        <v>9.0846207999999979</v>
      </c>
      <c r="AR11">
        <v>7.0891724799999993</v>
      </c>
      <c r="AS11">
        <v>5.5175034879999991</v>
      </c>
      <c r="AT11">
        <v>5.517503488</v>
      </c>
      <c r="AU11">
        <v>4.1905020928000001</v>
      </c>
    </row>
    <row r="12" spans="6:47" ht="14.45" x14ac:dyDescent="0.3">
      <c r="F12">
        <v>8.6387967999999979</v>
      </c>
      <c r="G12">
        <v>8.6344345599999972</v>
      </c>
      <c r="H12">
        <v>8.8993116159999985</v>
      </c>
      <c r="I12">
        <v>8.7339673599999976</v>
      </c>
      <c r="J12">
        <v>9.0141276159999979</v>
      </c>
      <c r="K12">
        <v>7.7468317695999946</v>
      </c>
      <c r="L12">
        <v>8.8682076159999994</v>
      </c>
      <c r="M12">
        <v>8.320911769599995</v>
      </c>
      <c r="N12">
        <v>9.1585116160000002</v>
      </c>
      <c r="O12">
        <v>10.517903359999998</v>
      </c>
      <c r="P12">
        <v>9.5254169600000012</v>
      </c>
      <c r="Q12">
        <v>9.1254169600000044</v>
      </c>
      <c r="R12">
        <v>9.5254169600000012</v>
      </c>
      <c r="S12">
        <v>9.209359359999997</v>
      </c>
      <c r="T12">
        <v>9.6428953599999971</v>
      </c>
      <c r="U12">
        <v>9.7267455999999992</v>
      </c>
      <c r="V12">
        <v>11.996415999999996</v>
      </c>
      <c r="W12">
        <v>10.829977599999994</v>
      </c>
      <c r="X12">
        <v>10.185625599999998</v>
      </c>
      <c r="Y12">
        <v>11.934591999999991</v>
      </c>
      <c r="Z12">
        <v>12.420377599999997</v>
      </c>
      <c r="AA12">
        <v>10.951167999999994</v>
      </c>
      <c r="AB12">
        <v>11.287167999999992</v>
      </c>
      <c r="AC12">
        <v>9.4287615999999979</v>
      </c>
      <c r="AD12">
        <v>7.8923007999999966</v>
      </c>
      <c r="AE12">
        <v>7.6523007999999972</v>
      </c>
      <c r="AF12">
        <v>10.655871999999995</v>
      </c>
      <c r="AG12">
        <v>9.7991679999999963</v>
      </c>
      <c r="AH12">
        <v>8.1925120000000007</v>
      </c>
      <c r="AI12">
        <v>9.0100479999999976</v>
      </c>
      <c r="AJ12">
        <v>8.4325119999999991</v>
      </c>
      <c r="AK12">
        <v>11.155071999999997</v>
      </c>
      <c r="AL12">
        <v>10.880127999999997</v>
      </c>
      <c r="AM12">
        <v>9.6090879999999963</v>
      </c>
      <c r="AN12">
        <v>7.4048511999999995</v>
      </c>
      <c r="AO12">
        <v>11.915775999999997</v>
      </c>
      <c r="AP12">
        <v>10.708863999999998</v>
      </c>
      <c r="AQ12">
        <v>9.2173311999999985</v>
      </c>
      <c r="AR12">
        <v>7.1687987199999998</v>
      </c>
      <c r="AS12">
        <v>5.565279232</v>
      </c>
      <c r="AT12">
        <v>5.565279232</v>
      </c>
      <c r="AU12">
        <v>4.2191675392000008</v>
      </c>
    </row>
    <row r="13" spans="6:47" ht="14.45" x14ac:dyDescent="0.3">
      <c r="F13">
        <v>8.5371903999999983</v>
      </c>
      <c r="G13">
        <v>8.5825945599999969</v>
      </c>
      <c r="H13">
        <v>8.8474716159999982</v>
      </c>
      <c r="I13">
        <v>8.4339865599999992</v>
      </c>
      <c r="J13">
        <v>8.7452508159999987</v>
      </c>
      <c r="K13">
        <v>7.4779549695999954</v>
      </c>
      <c r="L13">
        <v>8.2852956159999973</v>
      </c>
      <c r="M13">
        <v>7.7193373695999936</v>
      </c>
      <c r="N13">
        <v>7.8908317695999939</v>
      </c>
      <c r="O13">
        <v>8.2392156159999974</v>
      </c>
      <c r="P13">
        <v>7.5907420159999983</v>
      </c>
      <c r="Q13">
        <v>9.5254169600000012</v>
      </c>
      <c r="R13">
        <v>6.3552501760000002</v>
      </c>
      <c r="S13">
        <v>9.019279359999997</v>
      </c>
      <c r="T13">
        <v>9.2742553599999997</v>
      </c>
      <c r="U13">
        <v>9.5366655999999992</v>
      </c>
      <c r="V13">
        <v>11.627775999999995</v>
      </c>
      <c r="W13">
        <v>10.111897599999997</v>
      </c>
      <c r="X13">
        <v>9.8169855999999989</v>
      </c>
      <c r="Y13">
        <v>11.185407999999995</v>
      </c>
      <c r="Z13">
        <v>11.036953599999997</v>
      </c>
      <c r="AA13">
        <v>10.139775999999996</v>
      </c>
      <c r="AB13">
        <v>10.475775999999994</v>
      </c>
      <c r="AC13">
        <v>8.598707199999998</v>
      </c>
      <c r="AD13">
        <v>7.4054655999999968</v>
      </c>
      <c r="AE13">
        <v>7.1654655999999965</v>
      </c>
      <c r="AF13">
        <v>10.434687999999996</v>
      </c>
      <c r="AG13">
        <v>9.685119999999996</v>
      </c>
      <c r="AH13">
        <v>8.1427456000000014</v>
      </c>
      <c r="AI13">
        <v>8.9789439999999985</v>
      </c>
      <c r="AJ13">
        <v>8.3827455999999998</v>
      </c>
      <c r="AK13">
        <v>10.933887999999998</v>
      </c>
      <c r="AL13">
        <v>10.766079999999997</v>
      </c>
      <c r="AM13">
        <v>9.559321599999997</v>
      </c>
      <c r="AN13">
        <v>7.3861888000000002</v>
      </c>
      <c r="AO13">
        <v>11.484927999999996</v>
      </c>
      <c r="AP13">
        <v>10.469017599999999</v>
      </c>
      <c r="AQ13">
        <v>9.0846207999999979</v>
      </c>
      <c r="AR13">
        <v>7.0891724799999993</v>
      </c>
      <c r="AS13">
        <v>5.5175034879999991</v>
      </c>
      <c r="AT13">
        <v>5.517503488</v>
      </c>
      <c r="AU13">
        <v>4.1905020928000001</v>
      </c>
    </row>
    <row r="14" spans="6:47" ht="14.45" x14ac:dyDescent="0.3">
      <c r="F14">
        <v>9.0592767999999992</v>
      </c>
      <c r="G14">
        <v>9.7285273599999957</v>
      </c>
      <c r="H14">
        <v>11.095439359999995</v>
      </c>
      <c r="I14">
        <v>8.9166745599999988</v>
      </c>
      <c r="J14">
        <v>9.901551615999999</v>
      </c>
      <c r="K14">
        <v>8.7437916159999975</v>
      </c>
      <c r="L14">
        <v>8.7645276159999987</v>
      </c>
      <c r="M14">
        <v>8.2172317695999944</v>
      </c>
      <c r="N14">
        <v>7.9369117695999947</v>
      </c>
      <c r="O14">
        <v>8.0510556159999958</v>
      </c>
      <c r="P14">
        <v>7.2425820159999992</v>
      </c>
      <c r="Q14">
        <v>9.2636569600000023</v>
      </c>
      <c r="R14">
        <v>6.4381941759999997</v>
      </c>
      <c r="S14">
        <v>8.9674393599999984</v>
      </c>
      <c r="T14">
        <v>10.740239359999993</v>
      </c>
      <c r="U14">
        <v>11.006105599999998</v>
      </c>
      <c r="V14">
        <v>12.391935999999994</v>
      </c>
      <c r="W14">
        <v>10.849561599999994</v>
      </c>
      <c r="X14">
        <v>10.581145599999996</v>
      </c>
      <c r="Y14">
        <v>11.489535999999992</v>
      </c>
      <c r="Z14">
        <v>11.213977599999994</v>
      </c>
      <c r="AA14">
        <v>10.227327999999996</v>
      </c>
      <c r="AB14">
        <v>10.563327999999995</v>
      </c>
      <c r="AC14">
        <v>8.7049215999999969</v>
      </c>
      <c r="AD14">
        <v>7.4579967999999957</v>
      </c>
      <c r="AE14">
        <v>7.2179967999999963</v>
      </c>
      <c r="AF14">
        <v>10.830975999999996</v>
      </c>
      <c r="AG14">
        <v>9.8233599999999957</v>
      </c>
      <c r="AH14">
        <v>8.1759232000000015</v>
      </c>
      <c r="AI14">
        <v>9.1814655999999975</v>
      </c>
      <c r="AJ14">
        <v>8.4159231999999999</v>
      </c>
      <c r="AK14">
        <v>11.330175999999998</v>
      </c>
      <c r="AL14">
        <v>10.904319999999997</v>
      </c>
      <c r="AM14">
        <v>9.5924991999999971</v>
      </c>
      <c r="AN14">
        <v>7.4579353599999996</v>
      </c>
      <c r="AO14">
        <v>11.877759999999997</v>
      </c>
      <c r="AP14">
        <v>10.636287999999999</v>
      </c>
      <c r="AQ14">
        <v>9.1551231999999985</v>
      </c>
      <c r="AR14">
        <v>7.1314739199999995</v>
      </c>
      <c r="AS14">
        <v>5.5428843519999997</v>
      </c>
      <c r="AT14">
        <v>5.5428843519999997</v>
      </c>
      <c r="AU14">
        <v>4.2057306111999999</v>
      </c>
    </row>
    <row r="15" spans="6:47" ht="14.45" x14ac:dyDescent="0.3">
      <c r="F15">
        <v>8.7770367999999994</v>
      </c>
      <c r="G15">
        <v>9.1026073599999968</v>
      </c>
      <c r="H15">
        <v>9.8178396159999988</v>
      </c>
      <c r="I15">
        <v>8.6033305599999981</v>
      </c>
      <c r="J15">
        <v>9.2445276159999974</v>
      </c>
      <c r="K15">
        <v>7.977231769599995</v>
      </c>
      <c r="L15">
        <v>8.388975615999998</v>
      </c>
      <c r="M15">
        <v>7.8230173695999943</v>
      </c>
      <c r="N15">
        <v>7.7986717695999941</v>
      </c>
      <c r="O15">
        <v>8.189295615999999</v>
      </c>
      <c r="P15">
        <v>7.3808220159999998</v>
      </c>
      <c r="Q15">
        <v>9.4940569600000018</v>
      </c>
      <c r="R15">
        <v>6.5764341760000002</v>
      </c>
      <c r="S15">
        <v>10.740239359999993</v>
      </c>
      <c r="T15">
        <v>9.1878553599999986</v>
      </c>
      <c r="U15">
        <v>10.837145599999996</v>
      </c>
      <c r="V15">
        <v>11.781375999999996</v>
      </c>
      <c r="W15">
        <v>11.489561599999993</v>
      </c>
      <c r="X15">
        <v>11.221145599999995</v>
      </c>
      <c r="Y15">
        <v>11.729535999999992</v>
      </c>
      <c r="Z15">
        <v>11.597977599999995</v>
      </c>
      <c r="AA15">
        <v>10.371327999999995</v>
      </c>
      <c r="AB15">
        <v>10.707327999999993</v>
      </c>
      <c r="AC15">
        <v>8.9353215999999982</v>
      </c>
      <c r="AD15">
        <v>7.5443967999999959</v>
      </c>
      <c r="AE15">
        <v>7.3043967999999966</v>
      </c>
      <c r="AF15">
        <v>10.526847999999996</v>
      </c>
      <c r="AG15">
        <v>9.7404159999999962</v>
      </c>
      <c r="AH15">
        <v>8.1759232000000015</v>
      </c>
      <c r="AI15">
        <v>9.0432255999999978</v>
      </c>
      <c r="AJ15">
        <v>8.4159231999999999</v>
      </c>
      <c r="AK15">
        <v>11.026047999999998</v>
      </c>
      <c r="AL15">
        <v>10.821375999999997</v>
      </c>
      <c r="AM15">
        <v>9.5924991999999971</v>
      </c>
      <c r="AN15">
        <v>7.4060953600000001</v>
      </c>
      <c r="AO15">
        <v>11.542527999999997</v>
      </c>
      <c r="AP15">
        <v>10.503577599999998</v>
      </c>
      <c r="AQ15">
        <v>9.1053567999999991</v>
      </c>
      <c r="AR15">
        <v>7.1016140800000001</v>
      </c>
      <c r="AS15">
        <v>5.5249684479999992</v>
      </c>
      <c r="AT15">
        <v>5.5249684479999992</v>
      </c>
      <c r="AU15">
        <v>4.1949810688000007</v>
      </c>
    </row>
    <row r="16" spans="6:47" ht="14.45" x14ac:dyDescent="0.3">
      <c r="F16">
        <v>8.6754303999999998</v>
      </c>
      <c r="G16">
        <v>9.0887833599999972</v>
      </c>
      <c r="H16">
        <v>9.9462553599999968</v>
      </c>
      <c r="I16">
        <v>8.5825945599999969</v>
      </c>
      <c r="J16">
        <v>9.2618076159999969</v>
      </c>
      <c r="K16">
        <v>8.1040476159999955</v>
      </c>
      <c r="L16">
        <v>8.4304476159999968</v>
      </c>
      <c r="M16">
        <v>7.8831517695999933</v>
      </c>
      <c r="N16">
        <v>7.7986717695999941</v>
      </c>
      <c r="O16">
        <v>8.0510556159999958</v>
      </c>
      <c r="P16">
        <v>7.2425820159999992</v>
      </c>
      <c r="Q16">
        <v>9.2118169600000037</v>
      </c>
      <c r="R16">
        <v>6.4070901759999996</v>
      </c>
      <c r="S16">
        <v>11.006105599999998</v>
      </c>
      <c r="T16">
        <v>10.837145599999996</v>
      </c>
      <c r="U16">
        <v>9.4848255999999989</v>
      </c>
      <c r="V16">
        <v>13.031935999999993</v>
      </c>
      <c r="W16">
        <v>10.207897599999997</v>
      </c>
      <c r="X16">
        <v>9.9705855999999979</v>
      </c>
      <c r="Y16">
        <v>11.729535999999992</v>
      </c>
      <c r="Z16">
        <v>10.940953599999995</v>
      </c>
      <c r="AA16">
        <v>10.371327999999995</v>
      </c>
      <c r="AB16">
        <v>10.707327999999993</v>
      </c>
      <c r="AC16">
        <v>8.541107199999999</v>
      </c>
      <c r="AD16">
        <v>7.5443967999999959</v>
      </c>
      <c r="AE16">
        <v>7.3043967999999966</v>
      </c>
      <c r="AF16">
        <v>11.214975999999997</v>
      </c>
      <c r="AG16">
        <v>10.053759999999997</v>
      </c>
      <c r="AH16">
        <v>8.3141632000000012</v>
      </c>
      <c r="AI16">
        <v>9.0121215999999986</v>
      </c>
      <c r="AJ16">
        <v>8.5541631999999996</v>
      </c>
      <c r="AK16">
        <v>11.714175999999998</v>
      </c>
      <c r="AL16">
        <v>11.134719999999996</v>
      </c>
      <c r="AM16">
        <v>9.7307391999999968</v>
      </c>
      <c r="AN16">
        <v>7.4579353599999996</v>
      </c>
      <c r="AO16">
        <v>12.261759999999995</v>
      </c>
      <c r="AP16">
        <v>10.866688</v>
      </c>
      <c r="AQ16">
        <v>9.2933631999999982</v>
      </c>
      <c r="AR16">
        <v>7.2144179199999998</v>
      </c>
      <c r="AS16">
        <v>5.5926507519999991</v>
      </c>
      <c r="AT16">
        <v>5.5926507519999999</v>
      </c>
      <c r="AU16">
        <v>4.2355904512000002</v>
      </c>
    </row>
    <row r="17" spans="6:47" ht="14.45" x14ac:dyDescent="0.3">
      <c r="F17">
        <v>8.5890303999999986</v>
      </c>
      <c r="G17">
        <v>8.9447833599999971</v>
      </c>
      <c r="H17">
        <v>9.7062553599999983</v>
      </c>
      <c r="I17">
        <v>8.4961945599999975</v>
      </c>
      <c r="J17">
        <v>9.1178076159999968</v>
      </c>
      <c r="K17">
        <v>7.9600476159999953</v>
      </c>
      <c r="L17">
        <v>8.3440476159999974</v>
      </c>
      <c r="M17">
        <v>7.7967517695999931</v>
      </c>
      <c r="N17">
        <v>7.8608797695999941</v>
      </c>
      <c r="O17">
        <v>8.3033436159999994</v>
      </c>
      <c r="P17">
        <v>7.550857215999998</v>
      </c>
      <c r="Q17">
        <v>9.7442713600000008</v>
      </c>
      <c r="R17">
        <v>6.7265628159999986</v>
      </c>
      <c r="S17">
        <v>10.606105599999998</v>
      </c>
      <c r="T17">
        <v>10.437145599999996</v>
      </c>
      <c r="U17">
        <v>13.031935999999993</v>
      </c>
      <c r="V17">
        <v>11.541375999999994</v>
      </c>
      <c r="W17">
        <v>10.886425599999995</v>
      </c>
      <c r="X17">
        <v>12.421375999999995</v>
      </c>
      <c r="Y17">
        <v>13.26041599999999</v>
      </c>
      <c r="Z17">
        <v>11.859481599999993</v>
      </c>
      <c r="AA17">
        <v>10.945407999999995</v>
      </c>
      <c r="AB17">
        <v>11.425407999999994</v>
      </c>
      <c r="AC17">
        <v>8.8855551999999971</v>
      </c>
      <c r="AD17">
        <v>7.9752447999999969</v>
      </c>
      <c r="AE17">
        <v>7.7352447999999976</v>
      </c>
      <c r="AF17">
        <v>13.443199999999994</v>
      </c>
      <c r="AG17">
        <v>11.372031999999995</v>
      </c>
      <c r="AH17">
        <v>9.0864639999999977</v>
      </c>
      <c r="AI17">
        <v>9.2644095999999987</v>
      </c>
      <c r="AJ17">
        <v>9.3264639999999961</v>
      </c>
      <c r="AK17">
        <v>13.155199999999994</v>
      </c>
      <c r="AL17">
        <v>11.980671999999997</v>
      </c>
      <c r="AM17">
        <v>10.219647999999996</v>
      </c>
      <c r="AN17">
        <v>7.7400831999999999</v>
      </c>
      <c r="AO17">
        <v>13.458559999999993</v>
      </c>
      <c r="AP17">
        <v>11.250687999999998</v>
      </c>
      <c r="AQ17">
        <v>9.5237631999999994</v>
      </c>
      <c r="AR17">
        <v>7.3526579199999995</v>
      </c>
      <c r="AS17">
        <v>5.6755947520000003</v>
      </c>
      <c r="AT17">
        <v>5.6755947520000003</v>
      </c>
      <c r="AU17">
        <v>4.2853568511999995</v>
      </c>
    </row>
    <row r="18" spans="6:47" ht="14.45" x14ac:dyDescent="0.3">
      <c r="F18">
        <v>8.6387967999999979</v>
      </c>
      <c r="G18">
        <v>8.8722073599999973</v>
      </c>
      <c r="H18">
        <v>9.4338396159999984</v>
      </c>
      <c r="I18">
        <v>8.4650905599999984</v>
      </c>
      <c r="J18">
        <v>9.0141276159999979</v>
      </c>
      <c r="K18">
        <v>7.7468317695999946</v>
      </c>
      <c r="L18">
        <v>8.2507356159999983</v>
      </c>
      <c r="M18">
        <v>7.6847773695999937</v>
      </c>
      <c r="N18">
        <v>7.9369117695999947</v>
      </c>
      <c r="O18">
        <v>8.4196956160000003</v>
      </c>
      <c r="P18">
        <v>7.6112220160000001</v>
      </c>
      <c r="Q18">
        <v>9.8780569600000003</v>
      </c>
      <c r="R18">
        <v>6.8068341760000006</v>
      </c>
      <c r="S18">
        <v>10.100239359999996</v>
      </c>
      <c r="T18">
        <v>11.489561599999993</v>
      </c>
      <c r="U18">
        <v>10.197145599999999</v>
      </c>
      <c r="V18">
        <v>11.781375999999995</v>
      </c>
      <c r="W18">
        <v>9.967897599999997</v>
      </c>
      <c r="X18">
        <v>11.286425599999994</v>
      </c>
      <c r="Y18">
        <v>12.129535999999991</v>
      </c>
      <c r="Z18">
        <v>12.237977599999995</v>
      </c>
      <c r="AA18">
        <v>10.611327999999995</v>
      </c>
      <c r="AB18">
        <v>11.091327999999994</v>
      </c>
      <c r="AC18">
        <v>9.3193215999999968</v>
      </c>
      <c r="AD18">
        <v>7.7747967999999963</v>
      </c>
      <c r="AE18">
        <v>7.534796799999997</v>
      </c>
      <c r="AF18">
        <v>10.526847999999996</v>
      </c>
      <c r="AG18">
        <v>9.7404159999999962</v>
      </c>
      <c r="AH18">
        <v>8.1759232000000015</v>
      </c>
      <c r="AI18">
        <v>8.9913855999999974</v>
      </c>
      <c r="AJ18">
        <v>8.4159231999999999</v>
      </c>
      <c r="AK18">
        <v>11.026047999999998</v>
      </c>
      <c r="AL18">
        <v>10.821375999999997</v>
      </c>
      <c r="AM18">
        <v>9.5924991999999971</v>
      </c>
      <c r="AN18">
        <v>7.4060953600000001</v>
      </c>
      <c r="AO18">
        <v>11.782527999999997</v>
      </c>
      <c r="AP18">
        <v>10.647577599999998</v>
      </c>
      <c r="AQ18">
        <v>9.1917567999999985</v>
      </c>
      <c r="AR18">
        <v>7.1534540799999995</v>
      </c>
      <c r="AS18">
        <v>5.5560724479999992</v>
      </c>
      <c r="AT18">
        <v>5.5560724480000001</v>
      </c>
      <c r="AU18">
        <v>4.2136434688</v>
      </c>
    </row>
    <row r="19" spans="6:47" ht="14.45" x14ac:dyDescent="0.3">
      <c r="F19">
        <v>8.5890303999999986</v>
      </c>
      <c r="G19">
        <v>8.7208345599999983</v>
      </c>
      <c r="H19">
        <v>9.0986076159999971</v>
      </c>
      <c r="I19">
        <v>8.4650905599999984</v>
      </c>
      <c r="J19">
        <v>8.8627548159999989</v>
      </c>
      <c r="K19">
        <v>7.5954589695999957</v>
      </c>
      <c r="L19">
        <v>8.2507356159999983</v>
      </c>
      <c r="M19">
        <v>7.6847773695999937</v>
      </c>
      <c r="N19">
        <v>7.7986717695999941</v>
      </c>
      <c r="O19">
        <v>8.0856156159999966</v>
      </c>
      <c r="P19">
        <v>7.2771420159999991</v>
      </c>
      <c r="Q19">
        <v>9.2694169600000027</v>
      </c>
      <c r="R19">
        <v>6.4416501760000004</v>
      </c>
      <c r="S19">
        <v>9.4378393599999981</v>
      </c>
      <c r="T19">
        <v>11.221145599999995</v>
      </c>
      <c r="U19">
        <v>9.7248255999999991</v>
      </c>
      <c r="V19">
        <v>12.421375999999995</v>
      </c>
      <c r="W19">
        <v>11.286425599999994</v>
      </c>
      <c r="X19">
        <v>9.7305855999999977</v>
      </c>
      <c r="Y19">
        <v>12.129535999999991</v>
      </c>
      <c r="Z19">
        <v>11.036953599999995</v>
      </c>
      <c r="AA19">
        <v>10.611327999999995</v>
      </c>
      <c r="AB19">
        <v>10.475775999999994</v>
      </c>
      <c r="AC19">
        <v>8.5987071999999962</v>
      </c>
      <c r="AD19">
        <v>7.4054655999999968</v>
      </c>
      <c r="AE19">
        <v>7.1654655999999965</v>
      </c>
      <c r="AF19">
        <v>10.910847999999996</v>
      </c>
      <c r="AG19">
        <v>9.9708159999999957</v>
      </c>
      <c r="AH19">
        <v>8.3141632000000012</v>
      </c>
      <c r="AI19">
        <v>9.0432255999999978</v>
      </c>
      <c r="AJ19">
        <v>8.5541631999999996</v>
      </c>
      <c r="AK19">
        <v>11.410047999999996</v>
      </c>
      <c r="AL19">
        <v>11.051775999999997</v>
      </c>
      <c r="AM19">
        <v>9.7307391999999968</v>
      </c>
      <c r="AN19">
        <v>7.4890393599999996</v>
      </c>
      <c r="AO19">
        <v>11.782527999999997</v>
      </c>
      <c r="AP19">
        <v>10.647577599999998</v>
      </c>
      <c r="AQ19">
        <v>9.1917567999999985</v>
      </c>
      <c r="AR19">
        <v>7.1534540799999995</v>
      </c>
      <c r="AS19">
        <v>5.5560724479999992</v>
      </c>
      <c r="AT19">
        <v>5.5560724480000001</v>
      </c>
      <c r="AU19">
        <v>4.2136434688</v>
      </c>
    </row>
    <row r="20" spans="6:47" ht="14.45" x14ac:dyDescent="0.3">
      <c r="F20">
        <v>8.5371903999999983</v>
      </c>
      <c r="G20">
        <v>8.6344345599999972</v>
      </c>
      <c r="H20">
        <v>8.954607615999997</v>
      </c>
      <c r="I20">
        <v>8.413250559999998</v>
      </c>
      <c r="J20">
        <v>8.7763548159999996</v>
      </c>
      <c r="K20">
        <v>7.5090589695999954</v>
      </c>
      <c r="L20">
        <v>8.2818396159999974</v>
      </c>
      <c r="M20">
        <v>7.734543769599993</v>
      </c>
      <c r="N20">
        <v>8.1293916159999959</v>
      </c>
      <c r="O20">
        <v>8.7508633600000003</v>
      </c>
      <c r="P20">
        <v>7.998376959999999</v>
      </c>
      <c r="Q20">
        <v>10.490137599999997</v>
      </c>
      <c r="R20">
        <v>7.1740825599999996</v>
      </c>
      <c r="S20">
        <v>9.1978393599999979</v>
      </c>
      <c r="T20">
        <v>9.9337215999999966</v>
      </c>
      <c r="U20">
        <v>10.341145599999997</v>
      </c>
      <c r="V20">
        <v>13.26041599999999</v>
      </c>
      <c r="W20">
        <v>12.129535999999991</v>
      </c>
      <c r="X20">
        <v>12.129535999999991</v>
      </c>
      <c r="Y20">
        <v>11.041407999999995</v>
      </c>
      <c r="Z20">
        <v>13.102591999999992</v>
      </c>
      <c r="AA20">
        <v>11.969407999999992</v>
      </c>
      <c r="AB20">
        <v>10.715775999999993</v>
      </c>
      <c r="AC20">
        <v>9.2695551999999974</v>
      </c>
      <c r="AD20">
        <v>7.549465599999996</v>
      </c>
      <c r="AE20">
        <v>7.3094655999999967</v>
      </c>
      <c r="AF20">
        <v>11.414271999999995</v>
      </c>
      <c r="AG20">
        <v>10.254207999999997</v>
      </c>
      <c r="AH20">
        <v>8.4655360000000002</v>
      </c>
      <c r="AI20">
        <v>9.0743295999999987</v>
      </c>
      <c r="AJ20">
        <v>8.7055359999999986</v>
      </c>
      <c r="AK20">
        <v>11.683071999999997</v>
      </c>
      <c r="AL20">
        <v>11.196927999999996</v>
      </c>
      <c r="AM20">
        <v>9.7991679999999963</v>
      </c>
      <c r="AN20">
        <v>7.5188991999999999</v>
      </c>
      <c r="AO20">
        <v>13.179775999999993</v>
      </c>
      <c r="AP20">
        <v>11.467263999999997</v>
      </c>
      <c r="AQ20">
        <v>9.6723711999999988</v>
      </c>
      <c r="AR20">
        <v>7.4418227199999993</v>
      </c>
      <c r="AS20">
        <v>5.7290936319999997</v>
      </c>
      <c r="AT20">
        <v>5.7290936319999997</v>
      </c>
      <c r="AU20">
        <v>4.3174561792000006</v>
      </c>
    </row>
    <row r="21" spans="6:47" ht="14.45" x14ac:dyDescent="0.3">
      <c r="F21">
        <v>8.5558527999999985</v>
      </c>
      <c r="G21">
        <v>8.7339673599999958</v>
      </c>
      <c r="H21">
        <v>9.2034396159999989</v>
      </c>
      <c r="I21">
        <v>8.5957273599999962</v>
      </c>
      <c r="J21">
        <v>8.8758876159999964</v>
      </c>
      <c r="K21">
        <v>7.6085917695999941</v>
      </c>
      <c r="L21">
        <v>8.6378076159999999</v>
      </c>
      <c r="M21">
        <v>8.0905117695999937</v>
      </c>
      <c r="N21">
        <v>8.7745116159999998</v>
      </c>
      <c r="O21">
        <v>9.8779033600000012</v>
      </c>
      <c r="P21">
        <v>9.1254169600000044</v>
      </c>
      <c r="Q21">
        <v>12.420377599999997</v>
      </c>
      <c r="R21">
        <v>8.3322265600000005</v>
      </c>
      <c r="S21">
        <v>9.7162393599999977</v>
      </c>
      <c r="T21">
        <v>10.487695359999995</v>
      </c>
      <c r="U21">
        <v>9.9571456000000005</v>
      </c>
      <c r="V21">
        <v>12.380415999999995</v>
      </c>
      <c r="W21">
        <v>12.237977599999995</v>
      </c>
      <c r="X21">
        <v>10.886425599999995</v>
      </c>
      <c r="Y21">
        <v>13.102591999999992</v>
      </c>
      <c r="Z21">
        <v>10.796953599999997</v>
      </c>
      <c r="AA21">
        <v>12.144511999999994</v>
      </c>
      <c r="AB21">
        <v>12.624511999999994</v>
      </c>
      <c r="AC21">
        <v>11.436953599999997</v>
      </c>
      <c r="AD21">
        <v>8.6947071999999963</v>
      </c>
      <c r="AE21">
        <v>8.4547071999999979</v>
      </c>
      <c r="AF21">
        <v>10.886271999999996</v>
      </c>
      <c r="AG21">
        <v>9.937407999999996</v>
      </c>
      <c r="AH21">
        <v>8.2754560000000001</v>
      </c>
      <c r="AI21">
        <v>8.9913855999999974</v>
      </c>
      <c r="AJ21">
        <v>8.5154560000000004</v>
      </c>
      <c r="AK21">
        <v>11.299071999999997</v>
      </c>
      <c r="AL21">
        <v>10.966527999999997</v>
      </c>
      <c r="AM21">
        <v>9.6609279999999966</v>
      </c>
      <c r="AN21">
        <v>7.4359551999999995</v>
      </c>
      <c r="AO21">
        <v>12.155775999999996</v>
      </c>
      <c r="AP21">
        <v>10.852863999999999</v>
      </c>
      <c r="AQ21">
        <v>9.3037311999999996</v>
      </c>
      <c r="AR21">
        <v>7.2206387199999993</v>
      </c>
      <c r="AS21">
        <v>5.5963832319999991</v>
      </c>
      <c r="AT21">
        <v>5.596383232</v>
      </c>
      <c r="AU21">
        <v>4.2378299392000001</v>
      </c>
    </row>
    <row r="22" spans="6:47" ht="14.45" x14ac:dyDescent="0.3">
      <c r="F22">
        <v>8.5371903999999983</v>
      </c>
      <c r="G22">
        <v>8.5825945599999969</v>
      </c>
      <c r="H22">
        <v>8.8682076159999976</v>
      </c>
      <c r="I22">
        <v>8.413250559999998</v>
      </c>
      <c r="J22">
        <v>8.7245148159999992</v>
      </c>
      <c r="K22">
        <v>7.4572189695999951</v>
      </c>
      <c r="L22">
        <v>8.2818396159999974</v>
      </c>
      <c r="M22">
        <v>7.734543769599993</v>
      </c>
      <c r="N22">
        <v>7.9946076159999944</v>
      </c>
      <c r="O22">
        <v>8.4432793599999982</v>
      </c>
      <c r="P22">
        <v>7.6534681599999992</v>
      </c>
      <c r="Q22">
        <v>9.9152896000000013</v>
      </c>
      <c r="R22">
        <v>6.8291737600000006</v>
      </c>
      <c r="S22">
        <v>9.0538393599999978</v>
      </c>
      <c r="T22">
        <v>9.3318553599999987</v>
      </c>
      <c r="U22">
        <v>9.628825599999999</v>
      </c>
      <c r="V22">
        <v>11.781375999999995</v>
      </c>
      <c r="W22">
        <v>10.207897599999995</v>
      </c>
      <c r="X22">
        <v>10.287385599999997</v>
      </c>
      <c r="Y22">
        <v>11.969407999999992</v>
      </c>
      <c r="Z22">
        <v>12.144511999999994</v>
      </c>
      <c r="AA22">
        <v>9.9957759999999958</v>
      </c>
      <c r="AB22">
        <v>11.115775999999993</v>
      </c>
      <c r="AC22">
        <v>8.6947071999999963</v>
      </c>
      <c r="AD22">
        <v>7.7894655999999962</v>
      </c>
      <c r="AE22">
        <v>7.5494655999999969</v>
      </c>
      <c r="AF22">
        <v>10.526847999999996</v>
      </c>
      <c r="AG22">
        <v>9.7404159999999962</v>
      </c>
      <c r="AH22">
        <v>8.1759232000000015</v>
      </c>
      <c r="AI22">
        <v>9.0432255999999978</v>
      </c>
      <c r="AJ22">
        <v>8.4159231999999999</v>
      </c>
      <c r="AK22">
        <v>11.539071999999997</v>
      </c>
      <c r="AL22">
        <v>11.110527999999997</v>
      </c>
      <c r="AM22">
        <v>9.747327999999996</v>
      </c>
      <c r="AN22">
        <v>7.4877951999999999</v>
      </c>
      <c r="AO22">
        <v>12.555775999999994</v>
      </c>
      <c r="AP22">
        <v>11.092863999999999</v>
      </c>
      <c r="AQ22">
        <v>9.447731199999998</v>
      </c>
      <c r="AR22">
        <v>7.3070387199999995</v>
      </c>
      <c r="AS22">
        <v>5.6482232319999994</v>
      </c>
      <c r="AT22">
        <v>5.6482232319999994</v>
      </c>
      <c r="AU22">
        <v>4.2689339392000001</v>
      </c>
    </row>
    <row r="23" spans="6:47" ht="14.45" x14ac:dyDescent="0.3">
      <c r="F23">
        <v>8.5931775999999971</v>
      </c>
      <c r="G23">
        <v>8.6199193599999955</v>
      </c>
      <c r="H23">
        <v>8.9304156159999977</v>
      </c>
      <c r="I23">
        <v>8.4505753599999966</v>
      </c>
      <c r="J23">
        <v>8.7618396159999978</v>
      </c>
      <c r="K23">
        <v>7.4945437695999937</v>
      </c>
      <c r="L23">
        <v>8.3440476159999974</v>
      </c>
      <c r="M23">
        <v>7.7967517695999931</v>
      </c>
      <c r="N23">
        <v>8.098287615999995</v>
      </c>
      <c r="O23">
        <v>8.6160793599999987</v>
      </c>
      <c r="P23">
        <v>7.8262681599999997</v>
      </c>
      <c r="Q23">
        <v>10.2032896</v>
      </c>
      <c r="R23">
        <v>7.0019737600000012</v>
      </c>
      <c r="S23">
        <v>9.1575193599999984</v>
      </c>
      <c r="T23">
        <v>9.5046553599999992</v>
      </c>
      <c r="U23">
        <v>9.8880256000000006</v>
      </c>
      <c r="V23">
        <v>12.213375999999995</v>
      </c>
      <c r="W23">
        <v>10.495897599999996</v>
      </c>
      <c r="X23">
        <v>10.047385599999998</v>
      </c>
      <c r="Y23">
        <v>11.569407999999992</v>
      </c>
      <c r="Z23">
        <v>12.624511999999994</v>
      </c>
      <c r="AA23">
        <v>11.115775999999993</v>
      </c>
      <c r="AB23">
        <v>10.331775999999994</v>
      </c>
      <c r="AC23">
        <v>10.731775999999993</v>
      </c>
      <c r="AD23">
        <v>10.731775999999993</v>
      </c>
      <c r="AE23">
        <v>10.731775999999993</v>
      </c>
      <c r="AF23">
        <v>10.786047999999997</v>
      </c>
      <c r="AG23">
        <v>9.8959359999999954</v>
      </c>
      <c r="AH23">
        <v>8.2692352000000007</v>
      </c>
      <c r="AI23">
        <v>9.1365375999999987</v>
      </c>
      <c r="AJ23">
        <v>8.5092351999999991</v>
      </c>
      <c r="AK23">
        <v>11.971071999999996</v>
      </c>
      <c r="AL23">
        <v>11.369727999999997</v>
      </c>
      <c r="AM23">
        <v>9.902847999999997</v>
      </c>
      <c r="AN23">
        <v>7.5811071999999999</v>
      </c>
      <c r="AO23">
        <v>13.275775999999993</v>
      </c>
      <c r="AP23">
        <v>11.524863999999997</v>
      </c>
      <c r="AQ23">
        <v>9.7069311999999996</v>
      </c>
      <c r="AR23">
        <v>7.4625587199999996</v>
      </c>
      <c r="AS23">
        <v>5.7415352319999995</v>
      </c>
      <c r="AT23">
        <v>5.7415352319999995</v>
      </c>
      <c r="AU23">
        <v>4.3249211392000007</v>
      </c>
    </row>
    <row r="24" spans="6:47" ht="14.45" x14ac:dyDescent="0.3">
      <c r="F24">
        <v>8.5247487999999993</v>
      </c>
      <c r="G24">
        <v>8.6012569599999971</v>
      </c>
      <c r="H24">
        <v>8.8993116159999985</v>
      </c>
      <c r="I24">
        <v>8.4319129599999982</v>
      </c>
      <c r="J24">
        <v>8.7431772159999976</v>
      </c>
      <c r="K24">
        <v>7.4758813695999944</v>
      </c>
      <c r="L24">
        <v>8.2818396159999974</v>
      </c>
      <c r="M24">
        <v>7.7158813695999937</v>
      </c>
      <c r="N24">
        <v>7.8850717695999943</v>
      </c>
      <c r="O24">
        <v>8.2296156159999985</v>
      </c>
      <c r="P24">
        <v>7.4211420159999992</v>
      </c>
      <c r="Q24">
        <v>9.5094169600000011</v>
      </c>
      <c r="R24">
        <v>6.5856501760000006</v>
      </c>
      <c r="S24">
        <v>9.1056793599999981</v>
      </c>
      <c r="T24">
        <v>9.4182553599999981</v>
      </c>
      <c r="U24">
        <v>9.5712256</v>
      </c>
      <c r="V24">
        <v>11.685375999999994</v>
      </c>
      <c r="W24">
        <v>10.351897599999996</v>
      </c>
      <c r="X24">
        <v>9.960985599999999</v>
      </c>
      <c r="Y24">
        <v>11.425407999999992</v>
      </c>
      <c r="Z24">
        <v>11.436953599999997</v>
      </c>
      <c r="AA24">
        <v>10.235775999999996</v>
      </c>
      <c r="AB24">
        <v>10.731775999999993</v>
      </c>
      <c r="AC24">
        <v>8.4547071999999979</v>
      </c>
      <c r="AD24">
        <v>9.0947071999999984</v>
      </c>
      <c r="AE24">
        <v>7.3190655999999965</v>
      </c>
      <c r="AF24">
        <v>10.469247999999997</v>
      </c>
      <c r="AG24">
        <v>9.7058559999999954</v>
      </c>
      <c r="AH24">
        <v>8.1551872000000003</v>
      </c>
      <c r="AI24">
        <v>8.9913855999999974</v>
      </c>
      <c r="AJ24">
        <v>8.3951872000000005</v>
      </c>
      <c r="AK24">
        <v>11.026047999999998</v>
      </c>
      <c r="AL24">
        <v>10.821375999999997</v>
      </c>
      <c r="AM24">
        <v>9.5924991999999971</v>
      </c>
      <c r="AN24">
        <v>7.4060953600000001</v>
      </c>
      <c r="AO24">
        <v>11.638527999999996</v>
      </c>
      <c r="AP24">
        <v>10.561177599999999</v>
      </c>
      <c r="AQ24">
        <v>9.1399167999999982</v>
      </c>
      <c r="AR24">
        <v>7.1223500799999995</v>
      </c>
      <c r="AS24">
        <v>5.5374100479999999</v>
      </c>
      <c r="AT24">
        <v>5.5374100479999999</v>
      </c>
      <c r="AU24">
        <v>4.2024460288000007</v>
      </c>
    </row>
    <row r="25" spans="6:47" ht="14.45" x14ac:dyDescent="0.3">
      <c r="F25">
        <v>8.5247487999999993</v>
      </c>
      <c r="G25">
        <v>8.5701529599999962</v>
      </c>
      <c r="H25">
        <v>8.8474716159999982</v>
      </c>
      <c r="I25">
        <v>8.4008089599999973</v>
      </c>
      <c r="J25">
        <v>8.7120732159999985</v>
      </c>
      <c r="K25">
        <v>7.4447773695999944</v>
      </c>
      <c r="L25">
        <v>8.2299996159999971</v>
      </c>
      <c r="M25">
        <v>7.6640413695999934</v>
      </c>
      <c r="N25">
        <v>7.7986717695999941</v>
      </c>
      <c r="O25">
        <v>8.0856156159999966</v>
      </c>
      <c r="P25">
        <v>7.2771420159999991</v>
      </c>
      <c r="Q25">
        <v>9.2694169600000027</v>
      </c>
      <c r="R25">
        <v>6.4416501760000004</v>
      </c>
      <c r="S25">
        <v>9.0192793599999987</v>
      </c>
      <c r="T25">
        <v>9.2742553599999997</v>
      </c>
      <c r="U25">
        <v>9.5712256</v>
      </c>
      <c r="V25">
        <v>11.685375999999994</v>
      </c>
      <c r="W25">
        <v>10.111897599999997</v>
      </c>
      <c r="X25">
        <v>9.8169855999999989</v>
      </c>
      <c r="Y25">
        <v>11.185407999999995</v>
      </c>
      <c r="Z25">
        <v>11.036953599999997</v>
      </c>
      <c r="AA25">
        <v>10.235775999999996</v>
      </c>
      <c r="AB25">
        <v>10.731775999999993</v>
      </c>
      <c r="AC25">
        <v>9.0947071999999984</v>
      </c>
      <c r="AD25">
        <v>7.3190655999999965</v>
      </c>
      <c r="AE25">
        <v>7.7190655999999969</v>
      </c>
      <c r="AF25">
        <v>10.469247999999997</v>
      </c>
      <c r="AG25">
        <v>9.7058559999999954</v>
      </c>
      <c r="AH25">
        <v>8.1551872000000003</v>
      </c>
      <c r="AI25">
        <v>8.9913855999999974</v>
      </c>
      <c r="AJ25">
        <v>8.3951872000000005</v>
      </c>
      <c r="AK25">
        <v>11.026047999999998</v>
      </c>
      <c r="AL25">
        <v>10.821375999999997</v>
      </c>
      <c r="AM25">
        <v>9.5924991999999971</v>
      </c>
      <c r="AN25">
        <v>7.4060953600000001</v>
      </c>
      <c r="AO25">
        <v>11.638527999999996</v>
      </c>
      <c r="AP25">
        <v>10.561177599999999</v>
      </c>
      <c r="AQ25">
        <v>9.1399167999999982</v>
      </c>
      <c r="AR25">
        <v>7.1223500799999995</v>
      </c>
      <c r="AS25">
        <v>5.5374100479999999</v>
      </c>
      <c r="AT25">
        <v>5.5374100479999999</v>
      </c>
      <c r="AU25">
        <v>4.2024460288000007</v>
      </c>
    </row>
    <row r="26" spans="6:47" ht="14.45" x14ac:dyDescent="0.3">
      <c r="F26">
        <v>8.5247487999999993</v>
      </c>
      <c r="G26">
        <v>8.5701529599999962</v>
      </c>
      <c r="H26">
        <v>8.8474716159999982</v>
      </c>
      <c r="I26">
        <v>8.4008089599999973</v>
      </c>
      <c r="J26">
        <v>8.7120732159999985</v>
      </c>
      <c r="K26">
        <v>7.4447773695999944</v>
      </c>
      <c r="L26">
        <v>8.2299996159999971</v>
      </c>
      <c r="M26">
        <v>7.6640413695999934</v>
      </c>
      <c r="N26">
        <v>7.7986717695999941</v>
      </c>
      <c r="O26">
        <v>8.0856156159999966</v>
      </c>
      <c r="P26">
        <v>7.2771420159999991</v>
      </c>
      <c r="Q26">
        <v>9.2694169600000027</v>
      </c>
      <c r="R26">
        <v>6.4416501760000004</v>
      </c>
      <c r="S26">
        <v>9.0192793599999987</v>
      </c>
      <c r="T26">
        <v>9.2742553599999997</v>
      </c>
      <c r="U26">
        <v>9.5712256</v>
      </c>
      <c r="V26">
        <v>11.685375999999994</v>
      </c>
      <c r="W26">
        <v>10.111897599999997</v>
      </c>
      <c r="X26">
        <v>9.8169855999999989</v>
      </c>
      <c r="Y26">
        <v>11.185407999999995</v>
      </c>
      <c r="Z26">
        <v>11.036953599999997</v>
      </c>
      <c r="AA26">
        <v>10.235775999999996</v>
      </c>
      <c r="AB26">
        <v>10.731775999999993</v>
      </c>
      <c r="AC26">
        <v>8.6947071999999963</v>
      </c>
      <c r="AD26">
        <v>7.7190655999999969</v>
      </c>
      <c r="AE26">
        <v>7.0790655999999963</v>
      </c>
      <c r="AF26">
        <v>10.469247999999997</v>
      </c>
      <c r="AG26">
        <v>9.7058559999999954</v>
      </c>
      <c r="AH26">
        <v>8.1551872000000003</v>
      </c>
      <c r="AI26">
        <v>8.9913855999999974</v>
      </c>
      <c r="AJ26">
        <v>8.3951872000000005</v>
      </c>
      <c r="AK26">
        <v>11.026047999999998</v>
      </c>
      <c r="AL26">
        <v>10.821375999999997</v>
      </c>
      <c r="AM26">
        <v>9.5924991999999971</v>
      </c>
      <c r="AN26">
        <v>7.4060953600000001</v>
      </c>
      <c r="AO26">
        <v>11.638527999999996</v>
      </c>
      <c r="AP26">
        <v>10.561177599999999</v>
      </c>
      <c r="AQ26">
        <v>9.1399167999999982</v>
      </c>
      <c r="AR26">
        <v>7.1223500799999995</v>
      </c>
      <c r="AS26">
        <v>5.5374100479999999</v>
      </c>
      <c r="AT26">
        <v>5.5374100479999999</v>
      </c>
      <c r="AU26">
        <v>4.2024460288000007</v>
      </c>
    </row>
    <row r="27" spans="6:47" ht="14.45" x14ac:dyDescent="0.3">
      <c r="F27">
        <v>8.6754303999999998</v>
      </c>
      <c r="G27">
        <v>8.6033305599999981</v>
      </c>
      <c r="H27">
        <v>9.0853273599999973</v>
      </c>
      <c r="I27">
        <v>8.4339865599999992</v>
      </c>
      <c r="J27">
        <v>8.7452508159999987</v>
      </c>
      <c r="K27">
        <v>7.5874908159999954</v>
      </c>
      <c r="L27">
        <v>8.2299996159999971</v>
      </c>
      <c r="M27">
        <v>7.6640413695999934</v>
      </c>
      <c r="N27">
        <v>7.7779357695999938</v>
      </c>
      <c r="O27">
        <v>8.1132636159999976</v>
      </c>
      <c r="P27">
        <v>7.3607772159999971</v>
      </c>
      <c r="Q27">
        <v>9.427471360000002</v>
      </c>
      <c r="R27">
        <v>6.5364828159999986</v>
      </c>
      <c r="S27">
        <v>9.5712255999999982</v>
      </c>
      <c r="T27">
        <v>9.8227455999999975</v>
      </c>
      <c r="U27">
        <v>10.594815999999996</v>
      </c>
      <c r="V27">
        <v>13.443199999999994</v>
      </c>
      <c r="W27">
        <v>10.502425599999995</v>
      </c>
      <c r="X27">
        <v>10.840575999999993</v>
      </c>
      <c r="Y27">
        <v>11.963391999999994</v>
      </c>
      <c r="Z27">
        <v>11.331481599999995</v>
      </c>
      <c r="AA27">
        <v>10.329855999999998</v>
      </c>
      <c r="AB27">
        <v>10.665855999999994</v>
      </c>
      <c r="AC27">
        <v>8.6551551999999976</v>
      </c>
      <c r="AD27">
        <v>7.5195135999999971</v>
      </c>
      <c r="AE27">
        <v>7.2795135999999969</v>
      </c>
      <c r="AF27">
        <v>10.382847999999996</v>
      </c>
      <c r="AG27">
        <v>12.012031999999996</v>
      </c>
      <c r="AH27">
        <v>9.4704639999999962</v>
      </c>
      <c r="AI27">
        <v>9.4084095999999988</v>
      </c>
      <c r="AJ27">
        <v>9.7104639999999964</v>
      </c>
      <c r="AK27">
        <v>11.810047999999998</v>
      </c>
      <c r="AL27">
        <v>12.380671999999995</v>
      </c>
      <c r="AM27">
        <v>10.459647999999996</v>
      </c>
      <c r="AN27">
        <v>7.8840831999999992</v>
      </c>
      <c r="AO27">
        <v>11.955327999999996</v>
      </c>
      <c r="AP27">
        <v>10.657177599999997</v>
      </c>
      <c r="AQ27">
        <v>9.7637631999999996</v>
      </c>
      <c r="AR27">
        <v>7.4966579199999996</v>
      </c>
      <c r="AS27">
        <v>5.7619947519999997</v>
      </c>
      <c r="AT27">
        <v>5.7619947519999997</v>
      </c>
      <c r="AU27">
        <v>4.3371968511999999</v>
      </c>
    </row>
    <row r="28" spans="6:47" ht="14.45" x14ac:dyDescent="0.3">
      <c r="F28">
        <v>8.8194303999999999</v>
      </c>
      <c r="G28">
        <v>8.6897305599999974</v>
      </c>
      <c r="H28">
        <v>8.8682076159999976</v>
      </c>
      <c r="I28">
        <v>8.5203865599999986</v>
      </c>
      <c r="J28">
        <v>8.7452508159999987</v>
      </c>
      <c r="K28">
        <v>7.4572189695999951</v>
      </c>
      <c r="L28">
        <v>8.2818396159999974</v>
      </c>
      <c r="M28">
        <v>7.6640413695999934</v>
      </c>
      <c r="N28">
        <v>7.7779357695999938</v>
      </c>
      <c r="O28">
        <v>8.0303196159999963</v>
      </c>
      <c r="P28">
        <v>7.2778332159999968</v>
      </c>
      <c r="Q28">
        <v>9.2892313600000023</v>
      </c>
      <c r="R28">
        <v>6.4535388159999982</v>
      </c>
      <c r="S28">
        <v>9.2093593599999988</v>
      </c>
      <c r="T28">
        <v>9.4608793599999981</v>
      </c>
      <c r="U28">
        <v>9.9917055999999995</v>
      </c>
      <c r="V28">
        <v>12.438015999999994</v>
      </c>
      <c r="W28">
        <v>10.272025599999996</v>
      </c>
      <c r="X28">
        <v>10.237465599999997</v>
      </c>
      <c r="Y28">
        <v>11.579391999999993</v>
      </c>
      <c r="Z28">
        <v>11.101081599999995</v>
      </c>
      <c r="AA28">
        <v>10.185855999999998</v>
      </c>
      <c r="AB28">
        <v>10.521855999999994</v>
      </c>
      <c r="AC28">
        <v>8.5687551999999982</v>
      </c>
      <c r="AD28">
        <v>7.4331135999999969</v>
      </c>
      <c r="AE28">
        <v>7.1931135999999967</v>
      </c>
      <c r="AF28">
        <v>12.012031999999996</v>
      </c>
      <c r="AG28">
        <v>9.6540159999999968</v>
      </c>
      <c r="AH28">
        <v>10.859647999999996</v>
      </c>
      <c r="AI28">
        <v>9.6484095999999973</v>
      </c>
      <c r="AJ28">
        <v>10.859647999999996</v>
      </c>
      <c r="AK28">
        <v>11.410047999999996</v>
      </c>
      <c r="AL28">
        <v>11.614975999999995</v>
      </c>
      <c r="AM28">
        <v>11.099647999999997</v>
      </c>
      <c r="AN28">
        <v>8.1240832000000012</v>
      </c>
      <c r="AO28">
        <v>11.715327999999998</v>
      </c>
      <c r="AP28">
        <v>10.945177599999997</v>
      </c>
      <c r="AQ28">
        <v>9.5815167999999993</v>
      </c>
      <c r="AR28">
        <v>7.3873100799999998</v>
      </c>
      <c r="AS28">
        <v>5.696386047999999</v>
      </c>
      <c r="AT28">
        <v>5.6963860479999999</v>
      </c>
      <c r="AU28">
        <v>4.2978316288</v>
      </c>
    </row>
    <row r="29" spans="6:47" ht="14.45" x14ac:dyDescent="0.3">
      <c r="F29">
        <v>9.0594303999999983</v>
      </c>
      <c r="G29">
        <v>8.8337305599999976</v>
      </c>
      <c r="H29">
        <v>8.954607615999997</v>
      </c>
      <c r="I29">
        <v>8.6643865599999987</v>
      </c>
      <c r="J29">
        <v>8.831650815999998</v>
      </c>
      <c r="K29">
        <v>7.5090589695999954</v>
      </c>
      <c r="L29">
        <v>8.3682396159999985</v>
      </c>
      <c r="M29">
        <v>7.7158813695999937</v>
      </c>
      <c r="N29">
        <v>7.8297757695999941</v>
      </c>
      <c r="O29">
        <v>8.0303196159999963</v>
      </c>
      <c r="P29">
        <v>7.2094044159999982</v>
      </c>
      <c r="Q29">
        <v>9.1565209600000035</v>
      </c>
      <c r="R29">
        <v>6.3739125759999995</v>
      </c>
      <c r="S29">
        <v>9.0192793599999987</v>
      </c>
      <c r="T29">
        <v>9.2396953599999989</v>
      </c>
      <c r="U29">
        <v>9.6230656000000003</v>
      </c>
      <c r="V29">
        <v>11.823615999999994</v>
      </c>
      <c r="W29">
        <v>10.050841599999996</v>
      </c>
      <c r="X29">
        <v>9.8688255999999992</v>
      </c>
      <c r="Y29">
        <v>11.210751999999994</v>
      </c>
      <c r="Z29">
        <v>10.879897599999996</v>
      </c>
      <c r="AA29">
        <v>10.047615999999996</v>
      </c>
      <c r="AB29">
        <v>10.383615999999995</v>
      </c>
      <c r="AC29">
        <v>8.4858111999999988</v>
      </c>
      <c r="AD29">
        <v>7.3501695999999965</v>
      </c>
      <c r="AE29">
        <v>7.1101695999999963</v>
      </c>
      <c r="AF29">
        <v>10.988031999999995</v>
      </c>
      <c r="AG29">
        <v>10.859647999999996</v>
      </c>
      <c r="AH29">
        <v>8.1240832000000012</v>
      </c>
      <c r="AI29">
        <v>10.048409599999998</v>
      </c>
      <c r="AJ29">
        <v>8.7640832</v>
      </c>
      <c r="AK29">
        <v>11.026047999999998</v>
      </c>
      <c r="AL29">
        <v>10.974975999999996</v>
      </c>
      <c r="AM29">
        <v>9.780659199999997</v>
      </c>
      <c r="AN29">
        <v>7.6149913600000003</v>
      </c>
      <c r="AO29">
        <v>11.484927999999996</v>
      </c>
      <c r="AP29">
        <v>10.561177599999999</v>
      </c>
      <c r="AQ29">
        <v>9.1975167999999989</v>
      </c>
      <c r="AR29">
        <v>7.1569100800000003</v>
      </c>
      <c r="AS29">
        <v>5.5581460479999993</v>
      </c>
      <c r="AT29">
        <v>5.5581460479999993</v>
      </c>
      <c r="AU29">
        <v>4.2148876287999997</v>
      </c>
    </row>
    <row r="30" spans="6:47" ht="14.45" x14ac:dyDescent="0.3">
      <c r="F30">
        <v>10.885375999999992</v>
      </c>
      <c r="G30">
        <v>9.8272767999999964</v>
      </c>
      <c r="H30">
        <v>9.4885273599999955</v>
      </c>
      <c r="I30">
        <v>9.6890367999999967</v>
      </c>
      <c r="J30">
        <v>9.3966745599999957</v>
      </c>
      <c r="K30">
        <v>7.8294108159999967</v>
      </c>
      <c r="L30">
        <v>8.9643673599999953</v>
      </c>
      <c r="M30">
        <v>8.0548956159999943</v>
      </c>
      <c r="N30">
        <v>8.1501276159999971</v>
      </c>
      <c r="O30">
        <v>8.1754716159999976</v>
      </c>
      <c r="P30">
        <v>7.2964956159999961</v>
      </c>
      <c r="Q30">
        <v>9.1751833600000037</v>
      </c>
      <c r="R30">
        <v>6.3851100159999996</v>
      </c>
      <c r="S30">
        <v>9.2611993599999991</v>
      </c>
      <c r="T30">
        <v>9.270799359999998</v>
      </c>
      <c r="U30">
        <v>9.5366655999999992</v>
      </c>
      <c r="V30">
        <v>11.679615999999994</v>
      </c>
      <c r="W30">
        <v>9.9990015999999962</v>
      </c>
      <c r="X30">
        <v>9.7824255999999981</v>
      </c>
      <c r="Y30">
        <v>11.124351999999995</v>
      </c>
      <c r="Z30">
        <v>10.828057599999996</v>
      </c>
      <c r="AA30">
        <v>10.078719999999997</v>
      </c>
      <c r="AB30">
        <v>10.414719999999994</v>
      </c>
      <c r="AC30">
        <v>8.504473599999999</v>
      </c>
      <c r="AD30">
        <v>7.3688319999999958</v>
      </c>
      <c r="AE30">
        <v>7.1288319999999965</v>
      </c>
      <c r="AF30">
        <v>10.748031999999997</v>
      </c>
      <c r="AG30">
        <v>10.459647999999996</v>
      </c>
      <c r="AH30">
        <v>10.048409599999998</v>
      </c>
      <c r="AI30">
        <v>8.9602815999999983</v>
      </c>
      <c r="AJ30">
        <v>10.048409599999998</v>
      </c>
      <c r="AK30">
        <v>11.247231999999999</v>
      </c>
      <c r="AL30">
        <v>11.540607999999995</v>
      </c>
      <c r="AM30">
        <v>11.224985599999997</v>
      </c>
      <c r="AN30">
        <v>9.3602815999999986</v>
      </c>
      <c r="AO30">
        <v>11.567871999999998</v>
      </c>
      <c r="AP30">
        <v>10.832127999999999</v>
      </c>
      <c r="AQ30">
        <v>9.5368959999999987</v>
      </c>
      <c r="AR30">
        <v>7.3605375999999998</v>
      </c>
      <c r="AS30">
        <v>5.6803225599999996</v>
      </c>
      <c r="AT30">
        <v>5.6803225599999996</v>
      </c>
      <c r="AU30">
        <v>4.2881935359999996</v>
      </c>
    </row>
    <row r="31" spans="6:47" ht="14.45" x14ac:dyDescent="0.3">
      <c r="F31">
        <v>9.0594303999999983</v>
      </c>
      <c r="G31">
        <v>8.8337305599999976</v>
      </c>
      <c r="H31">
        <v>8.954607615999997</v>
      </c>
      <c r="I31">
        <v>8.6643865599999987</v>
      </c>
      <c r="J31">
        <v>8.831650815999998</v>
      </c>
      <c r="K31">
        <v>7.5090589695999954</v>
      </c>
      <c r="L31">
        <v>8.3682396159999985</v>
      </c>
      <c r="M31">
        <v>7.7158813695999937</v>
      </c>
      <c r="N31">
        <v>7.8297757695999941</v>
      </c>
      <c r="O31">
        <v>8.0303196159999963</v>
      </c>
      <c r="P31">
        <v>7.2094044159999982</v>
      </c>
      <c r="Q31">
        <v>9.1565209600000035</v>
      </c>
      <c r="R31">
        <v>6.3739125759999995</v>
      </c>
      <c r="S31">
        <v>9.0192793599999987</v>
      </c>
      <c r="T31">
        <v>9.2396953599999989</v>
      </c>
      <c r="U31">
        <v>9.6230656000000003</v>
      </c>
      <c r="V31">
        <v>11.823615999999994</v>
      </c>
      <c r="W31">
        <v>10.050841599999996</v>
      </c>
      <c r="X31">
        <v>9.8688255999999974</v>
      </c>
      <c r="Y31">
        <v>11.210751999999994</v>
      </c>
      <c r="Z31">
        <v>10.879897599999996</v>
      </c>
      <c r="AA31">
        <v>10.047615999999996</v>
      </c>
      <c r="AB31">
        <v>10.383615999999995</v>
      </c>
      <c r="AC31">
        <v>8.4858111999999988</v>
      </c>
      <c r="AD31">
        <v>7.3501695999999965</v>
      </c>
      <c r="AE31">
        <v>7.1101695999999963</v>
      </c>
      <c r="AF31">
        <v>10.988031999999995</v>
      </c>
      <c r="AG31">
        <v>10.859647999999996</v>
      </c>
      <c r="AH31">
        <v>8.7640832</v>
      </c>
      <c r="AI31">
        <v>10.048409599999998</v>
      </c>
      <c r="AJ31">
        <v>8.3640831999999996</v>
      </c>
      <c r="AK31">
        <v>11.026047999999998</v>
      </c>
      <c r="AL31">
        <v>10.974975999999996</v>
      </c>
      <c r="AM31">
        <v>10.180659199999997</v>
      </c>
      <c r="AN31">
        <v>7.6149913599999994</v>
      </c>
      <c r="AO31">
        <v>11.484927999999996</v>
      </c>
      <c r="AP31">
        <v>10.561177599999999</v>
      </c>
      <c r="AQ31">
        <v>9.1975167999999989</v>
      </c>
      <c r="AR31">
        <v>7.1569100800000003</v>
      </c>
      <c r="AS31">
        <v>5.5581460479999993</v>
      </c>
      <c r="AT31">
        <v>5.5581460479999993</v>
      </c>
      <c r="AU31">
        <v>4.2148876287999997</v>
      </c>
    </row>
    <row r="32" spans="6:47" ht="14.45" x14ac:dyDescent="0.3">
      <c r="F32">
        <v>8.8454655999999972</v>
      </c>
      <c r="G32">
        <v>8.6033305599999981</v>
      </c>
      <c r="H32">
        <v>9.0853273599999973</v>
      </c>
      <c r="I32">
        <v>8.4650905599999984</v>
      </c>
      <c r="J32">
        <v>8.7763548159999978</v>
      </c>
      <c r="K32">
        <v>7.5874908159999954</v>
      </c>
      <c r="L32">
        <v>8.2299996159999971</v>
      </c>
      <c r="M32">
        <v>7.6827037695999927</v>
      </c>
      <c r="N32">
        <v>7.7779357695999938</v>
      </c>
      <c r="O32">
        <v>8.0821596159999967</v>
      </c>
      <c r="P32">
        <v>7.2923484159999985</v>
      </c>
      <c r="Q32">
        <v>9.3134233600000034</v>
      </c>
      <c r="R32">
        <v>6.468054016</v>
      </c>
      <c r="S32">
        <v>9.4675455999999976</v>
      </c>
      <c r="T32">
        <v>9.7190655999999969</v>
      </c>
      <c r="U32">
        <v>10.422015999999998</v>
      </c>
      <c r="V32">
        <v>13.155199999999994</v>
      </c>
      <c r="W32">
        <v>10.312345599999995</v>
      </c>
      <c r="X32">
        <v>10.667775999999996</v>
      </c>
      <c r="Y32">
        <v>11.646591999999995</v>
      </c>
      <c r="Z32">
        <v>11.141401599999995</v>
      </c>
      <c r="AA32">
        <v>10.935039999999997</v>
      </c>
      <c r="AB32">
        <v>11.271039999999994</v>
      </c>
      <c r="AC32">
        <v>9.0182655999999994</v>
      </c>
      <c r="AD32">
        <v>7.8826239999999972</v>
      </c>
      <c r="AE32">
        <v>7.6426239999999979</v>
      </c>
      <c r="AF32">
        <v>11.810047999999998</v>
      </c>
      <c r="AG32">
        <v>10.366335999999995</v>
      </c>
      <c r="AH32">
        <v>8.5514752000000005</v>
      </c>
      <c r="AI32">
        <v>9.691801599999998</v>
      </c>
      <c r="AJ32">
        <v>8.7914751999999989</v>
      </c>
      <c r="AK32">
        <v>10.882047999999998</v>
      </c>
      <c r="AL32">
        <v>13.167871999999997</v>
      </c>
      <c r="AM32">
        <v>10.931967999999996</v>
      </c>
      <c r="AN32">
        <v>8.1674752000000019</v>
      </c>
      <c r="AO32">
        <v>12.995071999999995</v>
      </c>
      <c r="AP32">
        <v>11.890687999999997</v>
      </c>
      <c r="AQ32">
        <v>9.7637631999999979</v>
      </c>
      <c r="AR32">
        <v>7.4966579199999996</v>
      </c>
      <c r="AS32">
        <v>5.7619947519999997</v>
      </c>
      <c r="AT32">
        <v>5.7619947519999997</v>
      </c>
      <c r="AU32">
        <v>4.3371968511999999</v>
      </c>
    </row>
    <row r="33" spans="3:47" ht="14.45" x14ac:dyDescent="0.3">
      <c r="F33">
        <v>9.3813759999999942</v>
      </c>
      <c r="G33">
        <v>8.9248767999999981</v>
      </c>
      <c r="H33">
        <v>8.9470873599999976</v>
      </c>
      <c r="I33">
        <v>8.7866367999999984</v>
      </c>
      <c r="J33">
        <v>8.8552345599999978</v>
      </c>
      <c r="K33">
        <v>7.5045468159999951</v>
      </c>
      <c r="L33">
        <v>8.4229273599999974</v>
      </c>
      <c r="M33">
        <v>7.7300316159999927</v>
      </c>
      <c r="N33">
        <v>7.8252636159999938</v>
      </c>
      <c r="O33">
        <v>8.0303196159999963</v>
      </c>
      <c r="P33">
        <v>7.2405084159999982</v>
      </c>
      <c r="Q33">
        <v>9.227023360000004</v>
      </c>
      <c r="R33">
        <v>6.4162140159999996</v>
      </c>
      <c r="S33">
        <v>9.2371455999999981</v>
      </c>
      <c r="T33">
        <v>9.4886655999999974</v>
      </c>
      <c r="U33">
        <v>10.038015999999997</v>
      </c>
      <c r="V33">
        <v>12.515199999999993</v>
      </c>
      <c r="W33">
        <v>10.168345599999995</v>
      </c>
      <c r="X33">
        <v>10.283775999999996</v>
      </c>
      <c r="Y33">
        <v>11.406591999999995</v>
      </c>
      <c r="Z33">
        <v>10.997401599999995</v>
      </c>
      <c r="AA33">
        <v>10.551039999999997</v>
      </c>
      <c r="AB33">
        <v>10.887039999999995</v>
      </c>
      <c r="AC33">
        <v>8.7878655999999982</v>
      </c>
      <c r="AD33">
        <v>7.6522239999999968</v>
      </c>
      <c r="AE33">
        <v>7.4122239999999975</v>
      </c>
      <c r="AF33">
        <v>12.380671999999995</v>
      </c>
      <c r="AG33">
        <v>11.614975999999995</v>
      </c>
      <c r="AH33">
        <v>9.3006591999999983</v>
      </c>
      <c r="AI33">
        <v>10.584985599999996</v>
      </c>
      <c r="AJ33">
        <v>9.5406591999999968</v>
      </c>
      <c r="AK33">
        <v>13.167871999999997</v>
      </c>
      <c r="AL33">
        <v>10.734975999999996</v>
      </c>
      <c r="AM33">
        <v>12.420607999999996</v>
      </c>
      <c r="AN33">
        <v>9.0606591999999981</v>
      </c>
      <c r="AO33">
        <v>12.355071999999996</v>
      </c>
      <c r="AP33">
        <v>12.384127999999997</v>
      </c>
      <c r="AQ33">
        <v>11.749375999999996</v>
      </c>
      <c r="AR33">
        <v>8.6880255999999996</v>
      </c>
      <c r="AS33">
        <v>6.4768153599999998</v>
      </c>
      <c r="AT33">
        <v>6.4768153599999998</v>
      </c>
      <c r="AU33">
        <v>4.7660892159999992</v>
      </c>
    </row>
    <row r="34" spans="3:47" ht="14.45" x14ac:dyDescent="0.3">
      <c r="F34">
        <v>9.7653759999999945</v>
      </c>
      <c r="G34">
        <v>9.1552767999999976</v>
      </c>
      <c r="H34">
        <v>9.0853273599999973</v>
      </c>
      <c r="I34">
        <v>9.0170367999999979</v>
      </c>
      <c r="J34">
        <v>8.9934745599999975</v>
      </c>
      <c r="K34">
        <v>7.5874908159999954</v>
      </c>
      <c r="L34">
        <v>8.5611673599999971</v>
      </c>
      <c r="M34">
        <v>7.812975615999993</v>
      </c>
      <c r="N34">
        <v>7.9082076159999941</v>
      </c>
      <c r="O34">
        <v>8.0303196159999963</v>
      </c>
      <c r="P34">
        <v>7.2094044159999982</v>
      </c>
      <c r="Q34">
        <v>9.1751833600000037</v>
      </c>
      <c r="R34">
        <v>6.3851100159999996</v>
      </c>
      <c r="S34">
        <v>9.0192793599999987</v>
      </c>
      <c r="T34">
        <v>9.270799359999998</v>
      </c>
      <c r="U34">
        <v>9.6749055999999989</v>
      </c>
      <c r="V34">
        <v>11.910015999999993</v>
      </c>
      <c r="W34">
        <v>10.081945599999996</v>
      </c>
      <c r="X34">
        <v>9.9206655999999978</v>
      </c>
      <c r="Y34">
        <v>11.262591999999994</v>
      </c>
      <c r="Z34">
        <v>10.911001599999995</v>
      </c>
      <c r="AA34">
        <v>10.268799999999997</v>
      </c>
      <c r="AB34">
        <v>10.604799999999994</v>
      </c>
      <c r="AC34">
        <v>8.6185215999999976</v>
      </c>
      <c r="AD34">
        <v>7.4828799999999962</v>
      </c>
      <c r="AE34">
        <v>7.2428799999999969</v>
      </c>
      <c r="AF34">
        <v>11.132031999999997</v>
      </c>
      <c r="AG34">
        <v>11.099647999999997</v>
      </c>
      <c r="AH34">
        <v>8.3640831999999996</v>
      </c>
      <c r="AI34">
        <v>11.224985599999997</v>
      </c>
      <c r="AJ34">
        <v>10.180659199999997</v>
      </c>
      <c r="AK34">
        <v>11.775231999999999</v>
      </c>
      <c r="AL34">
        <v>12.420607999999996</v>
      </c>
      <c r="AM34">
        <v>9.5406591999999968</v>
      </c>
      <c r="AN34">
        <v>9.9406591999999971</v>
      </c>
      <c r="AO34">
        <v>11.884671999999997</v>
      </c>
      <c r="AP34">
        <v>11.360127999999998</v>
      </c>
      <c r="AQ34">
        <v>10.064895999999997</v>
      </c>
      <c r="AR34">
        <v>7.6773376000000004</v>
      </c>
      <c r="AS34">
        <v>5.8704025599999996</v>
      </c>
      <c r="AT34">
        <v>5.8704025599999996</v>
      </c>
      <c r="AU34">
        <v>4.402241536</v>
      </c>
    </row>
    <row r="35" spans="3:47" ht="14.45" x14ac:dyDescent="0.3">
      <c r="F35">
        <v>8.7460863999999994</v>
      </c>
      <c r="G35">
        <v>8.6954905599999979</v>
      </c>
      <c r="H35">
        <v>8.9027676159999967</v>
      </c>
      <c r="I35">
        <v>8.526146559999999</v>
      </c>
      <c r="J35">
        <v>8.7798108159999977</v>
      </c>
      <c r="K35">
        <v>7.4779549695999954</v>
      </c>
      <c r="L35">
        <v>8.2852956159999973</v>
      </c>
      <c r="M35">
        <v>7.6847773695999937</v>
      </c>
      <c r="N35">
        <v>7.7986717695999941</v>
      </c>
      <c r="O35">
        <v>8.0303196159999963</v>
      </c>
      <c r="P35">
        <v>7.2094044159999982</v>
      </c>
      <c r="Q35">
        <v>9.1440793600000045</v>
      </c>
      <c r="R35">
        <v>6.3664476160000003</v>
      </c>
      <c r="S35">
        <v>9.0192793599999987</v>
      </c>
      <c r="T35">
        <v>9.2189593599999977</v>
      </c>
      <c r="U35">
        <v>9.5366655999999992</v>
      </c>
      <c r="V35">
        <v>11.627775999999994</v>
      </c>
      <c r="W35">
        <v>9.9990015999999962</v>
      </c>
      <c r="X35">
        <v>9.7824255999999981</v>
      </c>
      <c r="Y35">
        <v>11.093247999999996</v>
      </c>
      <c r="Z35">
        <v>10.828057599999996</v>
      </c>
      <c r="AA35">
        <v>10.047615999999996</v>
      </c>
      <c r="AB35">
        <v>10.383615999999995</v>
      </c>
      <c r="AC35">
        <v>8.4858111999999988</v>
      </c>
      <c r="AD35">
        <v>7.3501695999999965</v>
      </c>
      <c r="AE35">
        <v>7.1101695999999963</v>
      </c>
      <c r="AF35">
        <v>10.526847999999996</v>
      </c>
      <c r="AG35">
        <v>9.894015999999997</v>
      </c>
      <c r="AH35">
        <v>8.3640831999999996</v>
      </c>
      <c r="AI35">
        <v>9.3602815999999986</v>
      </c>
      <c r="AJ35">
        <v>8.604083199999998</v>
      </c>
      <c r="AK35">
        <v>11.026047999999998</v>
      </c>
      <c r="AL35">
        <v>10.974975999999996</v>
      </c>
      <c r="AM35">
        <v>9.9406591999999971</v>
      </c>
      <c r="AN35">
        <v>7.3749913600000001</v>
      </c>
      <c r="AO35">
        <v>11.484927999999996</v>
      </c>
      <c r="AP35">
        <v>10.561177599999999</v>
      </c>
      <c r="AQ35">
        <v>9.1975167999999989</v>
      </c>
      <c r="AR35">
        <v>7.1569100800000003</v>
      </c>
      <c r="AS35">
        <v>5.5581460479999993</v>
      </c>
      <c r="AT35">
        <v>5.5581460479999993</v>
      </c>
      <c r="AU35">
        <v>4.2148876287999997</v>
      </c>
    </row>
    <row r="36" spans="3:47" ht="14.45" x14ac:dyDescent="0.3">
      <c r="F36">
        <v>8.7072255999999975</v>
      </c>
      <c r="G36">
        <v>8.7028633599999967</v>
      </c>
      <c r="H36">
        <v>9.1993753599999977</v>
      </c>
      <c r="I36">
        <v>8.413250559999998</v>
      </c>
      <c r="J36">
        <v>8.8758876159999964</v>
      </c>
      <c r="K36">
        <v>7.655919615999994</v>
      </c>
      <c r="L36">
        <v>8.2299996159999971</v>
      </c>
      <c r="M36">
        <v>7.6827037695999927</v>
      </c>
      <c r="N36">
        <v>7.9082076159999941</v>
      </c>
      <c r="O36">
        <v>8.2992793599999981</v>
      </c>
      <c r="P36">
        <v>7.5094681599999991</v>
      </c>
      <c r="Q36">
        <v>9.6752896000000028</v>
      </c>
      <c r="R36">
        <v>6.6851737600000005</v>
      </c>
      <c r="S36">
        <v>9.605785599999999</v>
      </c>
      <c r="T36">
        <v>9.549721599999998</v>
      </c>
      <c r="U36">
        <v>10.635135999999997</v>
      </c>
      <c r="V36">
        <v>13.458559999999993</v>
      </c>
      <c r="W36">
        <v>10.915455999999994</v>
      </c>
      <c r="X36">
        <v>10.650495999999997</v>
      </c>
      <c r="Y36">
        <v>13.179775999999993</v>
      </c>
      <c r="Z36">
        <v>11.744511999999993</v>
      </c>
      <c r="AA36">
        <v>12.555775999999994</v>
      </c>
      <c r="AB36">
        <v>13.275775999999993</v>
      </c>
      <c r="AC36">
        <v>9.8517759999999956</v>
      </c>
      <c r="AD36">
        <v>9.0854655999999956</v>
      </c>
      <c r="AE36">
        <v>8.8454655999999972</v>
      </c>
      <c r="AF36">
        <v>11.170047999999998</v>
      </c>
      <c r="AG36">
        <v>10.126335999999997</v>
      </c>
      <c r="AH36">
        <v>8.4074752000000004</v>
      </c>
      <c r="AI36">
        <v>9.3577215999999979</v>
      </c>
      <c r="AJ36">
        <v>8.6474751999999988</v>
      </c>
      <c r="AK36">
        <v>12.995071999999995</v>
      </c>
      <c r="AL36">
        <v>11.984127999999997</v>
      </c>
      <c r="AM36">
        <v>10.271487999999996</v>
      </c>
      <c r="AN36">
        <v>7.8022912</v>
      </c>
      <c r="AO36">
        <v>11.398527999999997</v>
      </c>
      <c r="AP36">
        <v>13.363711999999996</v>
      </c>
      <c r="AQ36">
        <v>10.791577599999998</v>
      </c>
      <c r="AR36">
        <v>8.1133465600000001</v>
      </c>
      <c r="AS36">
        <v>6.1320079359999999</v>
      </c>
      <c r="AT36">
        <v>6.1320079359999999</v>
      </c>
      <c r="AU36">
        <v>4.5592047616000002</v>
      </c>
    </row>
    <row r="37" spans="3:47" ht="14.45" x14ac:dyDescent="0.3">
      <c r="F37">
        <v>8.7936255999999968</v>
      </c>
      <c r="G37">
        <v>8.6033305599999981</v>
      </c>
      <c r="H37">
        <v>8.9470873599999976</v>
      </c>
      <c r="I37">
        <v>8.4650905599999984</v>
      </c>
      <c r="J37">
        <v>8.7245148159999975</v>
      </c>
      <c r="K37">
        <v>7.5045468159999951</v>
      </c>
      <c r="L37">
        <v>8.2299996159999953</v>
      </c>
      <c r="M37">
        <v>7.6515997695999927</v>
      </c>
      <c r="N37">
        <v>7.8252636159999938</v>
      </c>
      <c r="O37">
        <v>8.1610393599999984</v>
      </c>
      <c r="P37">
        <v>7.3712281599999985</v>
      </c>
      <c r="Q37">
        <v>9.4448896000000033</v>
      </c>
      <c r="R37">
        <v>6.5469337599999999</v>
      </c>
      <c r="S37">
        <v>9.1853055999999977</v>
      </c>
      <c r="T37">
        <v>9.4057215999999979</v>
      </c>
      <c r="U37">
        <v>9.8479359999999971</v>
      </c>
      <c r="V37">
        <v>12.146559999999994</v>
      </c>
      <c r="W37">
        <v>10.531455999999993</v>
      </c>
      <c r="X37">
        <v>10.093695999999996</v>
      </c>
      <c r="Y37">
        <v>12.011775999999994</v>
      </c>
      <c r="Z37">
        <v>11.360511999999993</v>
      </c>
      <c r="AA37">
        <v>11.156223999999996</v>
      </c>
      <c r="AB37">
        <v>11.492223999999995</v>
      </c>
      <c r="AC37">
        <v>9.1509759999999964</v>
      </c>
      <c r="AD37">
        <v>8.0153343999999969</v>
      </c>
      <c r="AE37">
        <v>7.7753343999999975</v>
      </c>
      <c r="AF37">
        <v>10.622847999999996</v>
      </c>
      <c r="AG37">
        <v>10.366335999999997</v>
      </c>
      <c r="AH37">
        <v>8.5514752000000005</v>
      </c>
      <c r="AI37">
        <v>9.501721599999998</v>
      </c>
      <c r="AJ37">
        <v>8.7914751999999989</v>
      </c>
      <c r="AK37">
        <v>11.890687999999997</v>
      </c>
      <c r="AL37">
        <v>12.384127999999997</v>
      </c>
      <c r="AM37">
        <v>10.511487999999996</v>
      </c>
      <c r="AN37">
        <v>7.9462912000000001</v>
      </c>
      <c r="AO37">
        <v>13.363711999999996</v>
      </c>
      <c r="AP37">
        <v>10.417177599999997</v>
      </c>
      <c r="AQ37">
        <v>11.431577599999997</v>
      </c>
      <c r="AR37">
        <v>8.4973465599999987</v>
      </c>
      <c r="AS37">
        <v>6.3624079359999994</v>
      </c>
      <c r="AT37">
        <v>6.3624079359999994</v>
      </c>
      <c r="AU37">
        <v>4.6974447615999999</v>
      </c>
    </row>
    <row r="38" spans="3:47" ht="14.45" x14ac:dyDescent="0.3">
      <c r="F38">
        <v>8.7251967999999973</v>
      </c>
      <c r="G38">
        <v>8.6829567999999977</v>
      </c>
      <c r="H38">
        <v>8.8952473599999973</v>
      </c>
      <c r="I38">
        <v>8.5136127999999989</v>
      </c>
      <c r="J38">
        <v>8.7722905599999983</v>
      </c>
      <c r="K38">
        <v>7.473442815999995</v>
      </c>
      <c r="L38">
        <v>8.2777753599999961</v>
      </c>
      <c r="M38">
        <v>7.6802652159999933</v>
      </c>
      <c r="N38">
        <v>7.7941596159999937</v>
      </c>
      <c r="O38">
        <v>8.0780953599999972</v>
      </c>
      <c r="P38">
        <v>7.2696217599999988</v>
      </c>
      <c r="Q38">
        <v>9.2568832000000043</v>
      </c>
      <c r="R38">
        <v>6.4341299200000002</v>
      </c>
      <c r="S38">
        <v>9.0989055999999984</v>
      </c>
      <c r="T38">
        <v>9.3193215999999985</v>
      </c>
      <c r="U38">
        <v>9.703935999999997</v>
      </c>
      <c r="V38">
        <v>11.906559999999994</v>
      </c>
      <c r="W38">
        <v>10.187007999999995</v>
      </c>
      <c r="X38">
        <v>9.9496959999999959</v>
      </c>
      <c r="Y38">
        <v>11.406591999999995</v>
      </c>
      <c r="Z38">
        <v>11.016063999999995</v>
      </c>
      <c r="AA38">
        <v>10.360959999999995</v>
      </c>
      <c r="AB38">
        <v>10.696959999999994</v>
      </c>
      <c r="AC38">
        <v>8.673817599999996</v>
      </c>
      <c r="AD38">
        <v>7.5381759999999964</v>
      </c>
      <c r="AE38">
        <v>7.2981759999999962</v>
      </c>
      <c r="AF38">
        <v>10.991487999999995</v>
      </c>
      <c r="AG38">
        <v>10.262655999999996</v>
      </c>
      <c r="AH38">
        <v>8.4892672000000005</v>
      </c>
      <c r="AI38">
        <v>9.3254655999999976</v>
      </c>
      <c r="AJ38">
        <v>8.7292671999999989</v>
      </c>
      <c r="AK38">
        <v>11.490687999999997</v>
      </c>
      <c r="AL38">
        <v>11.749375999999996</v>
      </c>
      <c r="AM38">
        <v>10.149299199999996</v>
      </c>
      <c r="AN38">
        <v>7.7401753600000012</v>
      </c>
      <c r="AO38">
        <v>12.007167999999997</v>
      </c>
      <c r="AP38">
        <v>11.431577599999997</v>
      </c>
      <c r="AQ38">
        <v>9.0535167999999988</v>
      </c>
      <c r="AR38">
        <v>10.077516799999998</v>
      </c>
      <c r="AS38">
        <v>7.3105100799999994</v>
      </c>
      <c r="AT38">
        <v>7.3105100799999994</v>
      </c>
      <c r="AU38">
        <v>5.2663060479999997</v>
      </c>
    </row>
    <row r="39" spans="3:47" ht="14.45" x14ac:dyDescent="0.3">
      <c r="F39">
        <v>8.6387967999999979</v>
      </c>
      <c r="G39">
        <v>8.6311167999999974</v>
      </c>
      <c r="H39">
        <v>8.8641433599999981</v>
      </c>
      <c r="I39">
        <v>8.4617727999999985</v>
      </c>
      <c r="J39">
        <v>8.7411865599999992</v>
      </c>
      <c r="K39">
        <v>7.4547804159999957</v>
      </c>
      <c r="L39">
        <v>8.246671359999997</v>
      </c>
      <c r="M39">
        <v>7.661602815999994</v>
      </c>
      <c r="N39">
        <v>7.7754972159999944</v>
      </c>
      <c r="O39">
        <v>8.0469913599999963</v>
      </c>
      <c r="P39">
        <v>7.2385177599999988</v>
      </c>
      <c r="Q39">
        <v>9.205043200000004</v>
      </c>
      <c r="R39">
        <v>6.4030259200000001</v>
      </c>
      <c r="S39">
        <v>9.047065599999998</v>
      </c>
      <c r="T39">
        <v>9.2674815999999982</v>
      </c>
      <c r="U39">
        <v>9.6175359999999976</v>
      </c>
      <c r="V39">
        <v>11.762559999999993</v>
      </c>
      <c r="W39">
        <v>10.100607999999996</v>
      </c>
      <c r="X39">
        <v>9.8632959999999965</v>
      </c>
      <c r="Y39">
        <v>11.262591999999994</v>
      </c>
      <c r="Z39">
        <v>10.929663999999995</v>
      </c>
      <c r="AA39">
        <v>10.216959999999995</v>
      </c>
      <c r="AB39">
        <v>10.552959999999993</v>
      </c>
      <c r="AC39">
        <v>8.5874175999999967</v>
      </c>
      <c r="AD39">
        <v>7.4517759999999962</v>
      </c>
      <c r="AE39">
        <v>7.211775999999996</v>
      </c>
      <c r="AF39">
        <v>10.751487999999995</v>
      </c>
      <c r="AG39">
        <v>10.022655999999996</v>
      </c>
      <c r="AH39">
        <v>8.3452672000000003</v>
      </c>
      <c r="AI39">
        <v>9.1814655999999975</v>
      </c>
      <c r="AJ39">
        <v>8.5852671999999988</v>
      </c>
      <c r="AK39">
        <v>11.250687999999997</v>
      </c>
      <c r="AL39">
        <v>11.349375999999996</v>
      </c>
      <c r="AM39">
        <v>9.909299199999996</v>
      </c>
      <c r="AN39">
        <v>7.596175360000001</v>
      </c>
      <c r="AO39">
        <v>11.767167999999996</v>
      </c>
      <c r="AP39">
        <v>11.031577599999997</v>
      </c>
      <c r="AQ39">
        <v>10.077516799999998</v>
      </c>
      <c r="AR39">
        <v>7.07051008</v>
      </c>
      <c r="AS39">
        <v>7.7105100799999997</v>
      </c>
      <c r="AT39">
        <v>7.7105100799999997</v>
      </c>
      <c r="AU39">
        <v>5.5063060479999999</v>
      </c>
    </row>
    <row r="40" spans="3:47" ht="14.45" x14ac:dyDescent="0.3">
      <c r="F40">
        <v>8.5558527999999985</v>
      </c>
      <c r="G40">
        <v>8.581350399999998</v>
      </c>
      <c r="H40">
        <v>8.8342835199999978</v>
      </c>
      <c r="I40">
        <v>8.4120063999999992</v>
      </c>
      <c r="J40">
        <v>8.7113267199999989</v>
      </c>
      <c r="K40">
        <v>7.4368645119999952</v>
      </c>
      <c r="L40">
        <v>8.2168115199999967</v>
      </c>
      <c r="M40">
        <v>7.6436869119999935</v>
      </c>
      <c r="N40">
        <v>7.7575813119999939</v>
      </c>
      <c r="O40">
        <v>8.017131519999996</v>
      </c>
      <c r="P40">
        <v>7.2086579199999994</v>
      </c>
      <c r="Q40">
        <v>9.1552768000000047</v>
      </c>
      <c r="R40">
        <v>6.3731660800000007</v>
      </c>
      <c r="S40">
        <v>8.9972991999999987</v>
      </c>
      <c r="T40">
        <v>9.2177151999999989</v>
      </c>
      <c r="U40">
        <v>9.5345919999999982</v>
      </c>
      <c r="V40">
        <v>11.624319999999994</v>
      </c>
      <c r="W40">
        <v>10.017663999999996</v>
      </c>
      <c r="X40">
        <v>9.780351999999997</v>
      </c>
      <c r="Y40">
        <v>11.124351999999995</v>
      </c>
      <c r="Z40">
        <v>10.846719999999996</v>
      </c>
      <c r="AA40">
        <v>10.078719999999995</v>
      </c>
      <c r="AB40">
        <v>10.414719999999994</v>
      </c>
      <c r="AC40">
        <v>8.5044735999999972</v>
      </c>
      <c r="AD40">
        <v>7.3688319999999958</v>
      </c>
      <c r="AE40">
        <v>7.1288319999999956</v>
      </c>
      <c r="AF40">
        <v>10.521087999999995</v>
      </c>
      <c r="AG40">
        <v>9.7922559999999965</v>
      </c>
      <c r="AH40">
        <v>8.2070272000000006</v>
      </c>
      <c r="AI40">
        <v>9.0432255999999978</v>
      </c>
      <c r="AJ40">
        <v>8.4470271999999991</v>
      </c>
      <c r="AK40">
        <v>11.020287999999997</v>
      </c>
      <c r="AL40">
        <v>10.965375999999996</v>
      </c>
      <c r="AM40">
        <v>9.6788991999999965</v>
      </c>
      <c r="AN40">
        <v>7.4579353600000005</v>
      </c>
      <c r="AO40">
        <v>11.536767999999997</v>
      </c>
      <c r="AP40">
        <v>10.647577599999996</v>
      </c>
      <c r="AQ40">
        <v>9.4375167999999992</v>
      </c>
      <c r="AR40">
        <v>7.7105100799999997</v>
      </c>
      <c r="AS40">
        <v>5.506306047999999</v>
      </c>
      <c r="AT40">
        <v>5.9063060479999994</v>
      </c>
      <c r="AU40">
        <v>5.9063060479999994</v>
      </c>
    </row>
    <row r="41" spans="3:47" ht="14.45" x14ac:dyDescent="0.3">
      <c r="F41">
        <v>8.5558527999999985</v>
      </c>
      <c r="G41">
        <v>8.581350399999998</v>
      </c>
      <c r="H41">
        <v>8.8342835199999978</v>
      </c>
      <c r="I41">
        <v>8.4120063999999992</v>
      </c>
      <c r="J41">
        <v>8.7113267199999989</v>
      </c>
      <c r="K41">
        <v>7.4368645119999952</v>
      </c>
      <c r="L41">
        <v>8.2168115199999967</v>
      </c>
      <c r="M41">
        <v>7.6436869119999935</v>
      </c>
      <c r="N41">
        <v>7.7575813119999939</v>
      </c>
      <c r="O41">
        <v>8.017131519999996</v>
      </c>
      <c r="P41">
        <v>7.2086579199999994</v>
      </c>
      <c r="Q41">
        <v>9.1552768000000047</v>
      </c>
      <c r="R41">
        <v>6.3731660800000007</v>
      </c>
      <c r="S41">
        <v>8.9972991999999987</v>
      </c>
      <c r="T41">
        <v>9.2177151999999989</v>
      </c>
      <c r="U41">
        <v>9.5345919999999982</v>
      </c>
      <c r="V41">
        <v>11.624319999999994</v>
      </c>
      <c r="W41">
        <v>10.017663999999996</v>
      </c>
      <c r="X41">
        <v>9.780351999999997</v>
      </c>
      <c r="Y41">
        <v>11.124351999999995</v>
      </c>
      <c r="Z41">
        <v>10.846719999999996</v>
      </c>
      <c r="AA41">
        <v>10.078719999999995</v>
      </c>
      <c r="AB41">
        <v>10.414719999999994</v>
      </c>
      <c r="AC41">
        <v>8.5044735999999972</v>
      </c>
      <c r="AD41">
        <v>7.3688319999999958</v>
      </c>
      <c r="AE41">
        <v>7.1288319999999956</v>
      </c>
      <c r="AF41">
        <v>10.521087999999995</v>
      </c>
      <c r="AG41">
        <v>9.7922559999999965</v>
      </c>
      <c r="AH41">
        <v>8.2070272000000006</v>
      </c>
      <c r="AI41">
        <v>9.0432255999999978</v>
      </c>
      <c r="AJ41">
        <v>8.4470271999999991</v>
      </c>
      <c r="AK41">
        <v>11.020287999999997</v>
      </c>
      <c r="AL41">
        <v>10.965375999999996</v>
      </c>
      <c r="AM41">
        <v>9.6788991999999965</v>
      </c>
      <c r="AN41">
        <v>7.4579353600000005</v>
      </c>
      <c r="AO41">
        <v>11.536767999999997</v>
      </c>
      <c r="AP41">
        <v>10.647577599999996</v>
      </c>
      <c r="AQ41">
        <v>9.4375167999999992</v>
      </c>
      <c r="AR41">
        <v>7.7105100799999997</v>
      </c>
      <c r="AS41">
        <v>5.9063060479999994</v>
      </c>
      <c r="AT41">
        <v>5.5063060479999999</v>
      </c>
      <c r="AU41">
        <v>5.9063060480000003</v>
      </c>
    </row>
    <row r="42" spans="3:47" ht="14.45" x14ac:dyDescent="0.3">
      <c r="F42">
        <v>8.5247487999999993</v>
      </c>
      <c r="G42">
        <v>8.5626879999999979</v>
      </c>
      <c r="H42">
        <v>8.8230860799999977</v>
      </c>
      <c r="I42">
        <v>8.393343999999999</v>
      </c>
      <c r="J42">
        <v>8.7001292799999987</v>
      </c>
      <c r="K42">
        <v>7.4301460479999948</v>
      </c>
      <c r="L42">
        <v>8.2056140799999966</v>
      </c>
      <c r="M42">
        <v>7.6369684479999931</v>
      </c>
      <c r="N42">
        <v>7.7508628479999935</v>
      </c>
      <c r="O42">
        <v>8.0059340799999958</v>
      </c>
      <c r="P42">
        <v>7.1974604799999993</v>
      </c>
      <c r="Q42">
        <v>9.1366144000000045</v>
      </c>
      <c r="R42">
        <v>6.3619686400000006</v>
      </c>
      <c r="S42">
        <v>8.9786367999999985</v>
      </c>
      <c r="T42">
        <v>9.1990527999999987</v>
      </c>
      <c r="U42">
        <v>9.503487999999999</v>
      </c>
      <c r="V42">
        <v>11.572479999999993</v>
      </c>
      <c r="W42">
        <v>9.9865599999999972</v>
      </c>
      <c r="X42">
        <v>9.7492479999999979</v>
      </c>
      <c r="Y42">
        <v>11.072511999999994</v>
      </c>
      <c r="Z42">
        <v>10.815615999999997</v>
      </c>
      <c r="AA42">
        <v>10.026879999999995</v>
      </c>
      <c r="AB42">
        <v>10.362879999999993</v>
      </c>
      <c r="AC42">
        <v>8.4733695999999981</v>
      </c>
      <c r="AD42">
        <v>7.3377279999999958</v>
      </c>
      <c r="AE42">
        <v>7.0977279999999956</v>
      </c>
      <c r="AF42">
        <v>10.434687999999996</v>
      </c>
      <c r="AG42">
        <v>9.7058559999999972</v>
      </c>
      <c r="AH42">
        <v>8.1551872000000003</v>
      </c>
      <c r="AI42">
        <v>8.9913855999999974</v>
      </c>
      <c r="AJ42">
        <v>8.3951871999999987</v>
      </c>
      <c r="AK42">
        <v>10.933887999999998</v>
      </c>
      <c r="AL42">
        <v>10.821375999999995</v>
      </c>
      <c r="AM42">
        <v>9.5924991999999971</v>
      </c>
      <c r="AN42">
        <v>7.4060953600000001</v>
      </c>
      <c r="AO42">
        <v>11.450367999999997</v>
      </c>
      <c r="AP42">
        <v>10.503577599999996</v>
      </c>
      <c r="AQ42">
        <v>9.1975167999999989</v>
      </c>
      <c r="AR42">
        <v>7.3105100799999994</v>
      </c>
      <c r="AS42">
        <v>5.9063060479999994</v>
      </c>
      <c r="AT42">
        <v>5.9063060480000003</v>
      </c>
      <c r="AU42">
        <v>4.1837836288000005</v>
      </c>
    </row>
    <row r="44" spans="3:47" ht="14.45" x14ac:dyDescent="0.3">
      <c r="C44" t="s">
        <v>6</v>
      </c>
      <c r="F44" s="29">
        <f>SUM(F1:F42)/42</f>
        <v>8.8865005714285701</v>
      </c>
      <c r="G44" s="29">
        <f t="shared" ref="G44:AU44" si="0">SUM(G1:G42)/42</f>
        <v>8.9206892495238073</v>
      </c>
      <c r="H44" s="29">
        <f t="shared" si="0"/>
        <v>9.2195154895238076</v>
      </c>
      <c r="I44" s="29">
        <f t="shared" si="0"/>
        <v>8.7295340495238065</v>
      </c>
      <c r="J44" s="29">
        <f t="shared" si="0"/>
        <v>9.0663821165714253</v>
      </c>
      <c r="K44" s="29">
        <f t="shared" si="0"/>
        <v>7.7917335113142823</v>
      </c>
      <c r="L44" s="29">
        <f t="shared" si="0"/>
        <v>8.5331711512380917</v>
      </c>
      <c r="M44" s="29">
        <f t="shared" si="0"/>
        <v>7.9827782607238067</v>
      </c>
      <c r="N44" s="29">
        <f t="shared" si="0"/>
        <v>8.0968375149714227</v>
      </c>
      <c r="O44" s="29">
        <f t="shared" si="0"/>
        <v>8.3560572342857125</v>
      </c>
      <c r="P44" s="29">
        <f t="shared" si="0"/>
        <v>7.5187763199999988</v>
      </c>
      <c r="Q44" s="29">
        <f t="shared" si="0"/>
        <v>9.5134272609523833</v>
      </c>
      <c r="R44" s="29">
        <f t="shared" si="0"/>
        <v>6.6815244190476157</v>
      </c>
      <c r="S44" s="29">
        <f t="shared" si="0"/>
        <v>9.3905334857142826</v>
      </c>
      <c r="T44" s="29">
        <f t="shared" si="0"/>
        <v>9.6220831695238065</v>
      </c>
      <c r="U44" s="29">
        <f t="shared" si="0"/>
        <v>9.9216493714285665</v>
      </c>
      <c r="V44" s="29">
        <f t="shared" si="0"/>
        <v>12.009444571428569</v>
      </c>
      <c r="W44" s="29">
        <f t="shared" si="0"/>
        <v>10.387293866666665</v>
      </c>
      <c r="X44" s="29">
        <f t="shared" si="0"/>
        <v>10.19001295238095</v>
      </c>
      <c r="Y44" s="29">
        <f t="shared" si="0"/>
        <v>11.516251428571424</v>
      </c>
      <c r="Z44" s="29">
        <f t="shared" si="0"/>
        <v>11.243344457142854</v>
      </c>
      <c r="AA44" s="29">
        <f t="shared" si="0"/>
        <v>10.439649523809518</v>
      </c>
      <c r="AB44" s="29">
        <f t="shared" si="0"/>
        <v>10.749430857142853</v>
      </c>
      <c r="AC44" s="29">
        <f t="shared" si="0"/>
        <v>8.8388370285714242</v>
      </c>
      <c r="AD44" s="29">
        <f t="shared" si="0"/>
        <v>7.6855716571428525</v>
      </c>
      <c r="AE44" s="29">
        <f t="shared" si="0"/>
        <v>7.4204373333333322</v>
      </c>
      <c r="AF44" s="29">
        <f t="shared" si="0"/>
        <v>10.829601523809519</v>
      </c>
      <c r="AG44" s="29">
        <f t="shared" si="0"/>
        <v>10.090023619047615</v>
      </c>
      <c r="AH44" s="29">
        <f t="shared" si="0"/>
        <v>8.4937289142857164</v>
      </c>
      <c r="AI44" s="29">
        <f t="shared" si="0"/>
        <v>9.3639765333333305</v>
      </c>
      <c r="AJ44" s="29">
        <f t="shared" si="0"/>
        <v>8.7541235809523776</v>
      </c>
      <c r="AK44" s="29">
        <f t="shared" si="0"/>
        <v>11.335262476190476</v>
      </c>
      <c r="AL44" s="29">
        <f t="shared" si="0"/>
        <v>11.193444571428566</v>
      </c>
      <c r="AM44" s="29">
        <f t="shared" si="0"/>
        <v>9.9706160761904705</v>
      </c>
      <c r="AN44" s="29">
        <f t="shared" si="0"/>
        <v>7.7345368990476215</v>
      </c>
      <c r="AO44" s="29">
        <f t="shared" si="0"/>
        <v>11.875830857142857</v>
      </c>
      <c r="AP44" s="29">
        <f t="shared" si="0"/>
        <v>10.85108358095238</v>
      </c>
      <c r="AQ44" s="29">
        <f t="shared" si="0"/>
        <v>9.4610962285714297</v>
      </c>
      <c r="AR44" s="29">
        <f t="shared" si="0"/>
        <v>7.3951864685714277</v>
      </c>
      <c r="AS44" s="29">
        <f t="shared" si="0"/>
        <v>5.750926262857142</v>
      </c>
      <c r="AT44" s="29">
        <f t="shared" si="0"/>
        <v>5.750926262857142</v>
      </c>
      <c r="AU44" s="29">
        <f t="shared" si="0"/>
        <v>4.4011520633904757</v>
      </c>
    </row>
    <row r="45" spans="3:47" ht="14.45" x14ac:dyDescent="0.3">
      <c r="C45" t="s">
        <v>7</v>
      </c>
      <c r="F45" s="29">
        <v>8.5060863999999992</v>
      </c>
      <c r="G45" s="29">
        <v>8.5514905599999977</v>
      </c>
      <c r="H45" s="29">
        <v>8.8163676159999973</v>
      </c>
      <c r="I45" s="29">
        <v>8.3821465599999989</v>
      </c>
      <c r="J45" s="29">
        <v>8.6934108159999983</v>
      </c>
      <c r="K45" s="29">
        <v>7.4261149695999951</v>
      </c>
      <c r="L45" s="29">
        <v>8.1988956159999962</v>
      </c>
      <c r="M45" s="29">
        <v>7.6329373695999934</v>
      </c>
      <c r="N45" s="29">
        <v>7.7468317695999938</v>
      </c>
      <c r="O45" s="29">
        <v>7.9992156159999963</v>
      </c>
      <c r="P45" s="29">
        <v>7.1907420159999988</v>
      </c>
      <c r="Q45" s="29">
        <v>9.1254169600000044</v>
      </c>
      <c r="R45" s="29">
        <v>6.3552501760000002</v>
      </c>
      <c r="S45" s="29">
        <v>8.9674393599999984</v>
      </c>
      <c r="T45" s="29">
        <v>9.1878553599999986</v>
      </c>
      <c r="U45" s="29">
        <v>9.4848255999999989</v>
      </c>
      <c r="V45" s="29">
        <v>11.541375999999994</v>
      </c>
      <c r="W45" s="29">
        <v>9.967897599999997</v>
      </c>
      <c r="X45" s="29">
        <v>9.7305855999999977</v>
      </c>
      <c r="Y45" s="29">
        <v>11.041407999999995</v>
      </c>
      <c r="Z45" s="29">
        <v>10.796953599999997</v>
      </c>
      <c r="AA45" s="29">
        <v>9.9957759999999958</v>
      </c>
      <c r="AB45" s="29">
        <v>10.331775999999994</v>
      </c>
      <c r="AC45" s="29">
        <v>8.4547071999999979</v>
      </c>
      <c r="AD45" s="29">
        <v>7.3190655999999965</v>
      </c>
      <c r="AE45" s="29">
        <v>7.0790655999999963</v>
      </c>
      <c r="AF45" s="29">
        <v>10.382847999999996</v>
      </c>
      <c r="AG45" s="29">
        <v>9.6540159999999968</v>
      </c>
      <c r="AH45" s="29">
        <v>8.1240832000000012</v>
      </c>
      <c r="AI45" s="29">
        <v>8.9602815999999983</v>
      </c>
      <c r="AJ45" s="29">
        <v>8.3640831999999996</v>
      </c>
      <c r="AK45" s="29">
        <v>10.882047999999998</v>
      </c>
      <c r="AL45" s="29">
        <v>10.734975999999996</v>
      </c>
      <c r="AM45" s="29">
        <v>9.5406591999999968</v>
      </c>
      <c r="AN45" s="29">
        <v>7.3749913600000001</v>
      </c>
      <c r="AO45" s="29">
        <v>11.398527999999997</v>
      </c>
      <c r="AP45" s="29">
        <v>10.417177599999997</v>
      </c>
      <c r="AQ45" s="29">
        <v>9.0535167999999988</v>
      </c>
      <c r="AR45" s="29">
        <v>7.07051008</v>
      </c>
      <c r="AS45" s="29">
        <v>5.506306047999999</v>
      </c>
      <c r="AT45" s="29">
        <v>5.5063060479999999</v>
      </c>
      <c r="AU45" s="29">
        <v>4.1837836288000005</v>
      </c>
    </row>
    <row r="46" spans="3:47" ht="14.45" x14ac:dyDescent="0.3">
      <c r="C46" t="s">
        <v>8</v>
      </c>
      <c r="F46" s="29">
        <f>F44-F45</f>
        <v>0.38041417142857092</v>
      </c>
      <c r="G46" s="29">
        <f t="shared" ref="G46:AU46" si="1">G44-G45</f>
        <v>0.36919868952380952</v>
      </c>
      <c r="H46" s="29">
        <f t="shared" si="1"/>
        <v>0.40314787352381032</v>
      </c>
      <c r="I46" s="29">
        <f t="shared" si="1"/>
        <v>0.3473874895238076</v>
      </c>
      <c r="J46" s="29">
        <f t="shared" si="1"/>
        <v>0.37297130057142702</v>
      </c>
      <c r="K46" s="29">
        <f t="shared" si="1"/>
        <v>0.3656185417142872</v>
      </c>
      <c r="L46" s="29">
        <f t="shared" si="1"/>
        <v>0.3342755352380955</v>
      </c>
      <c r="M46" s="29">
        <f t="shared" si="1"/>
        <v>0.34984089112381334</v>
      </c>
      <c r="N46" s="29">
        <f t="shared" si="1"/>
        <v>0.35000574537142892</v>
      </c>
      <c r="O46" s="29">
        <f t="shared" si="1"/>
        <v>0.35684161828571614</v>
      </c>
      <c r="P46" s="29">
        <f t="shared" si="1"/>
        <v>0.328034304</v>
      </c>
      <c r="Q46" s="29">
        <f t="shared" si="1"/>
        <v>0.38801030095237898</v>
      </c>
      <c r="R46" s="29">
        <f t="shared" si="1"/>
        <v>0.32627424304761554</v>
      </c>
      <c r="S46" s="29">
        <f t="shared" si="1"/>
        <v>0.42309412571428417</v>
      </c>
      <c r="T46" s="29">
        <f t="shared" si="1"/>
        <v>0.43422780952380791</v>
      </c>
      <c r="U46" s="29">
        <f t="shared" si="1"/>
        <v>0.43682377142856765</v>
      </c>
      <c r="V46" s="29">
        <f t="shared" si="1"/>
        <v>0.46806857142857439</v>
      </c>
      <c r="W46" s="29">
        <f t="shared" si="1"/>
        <v>0.41939626666666818</v>
      </c>
      <c r="X46" s="29">
        <f t="shared" si="1"/>
        <v>0.45942735238095267</v>
      </c>
      <c r="Y46" s="29">
        <f t="shared" si="1"/>
        <v>0.47484342857142892</v>
      </c>
      <c r="Z46" s="29">
        <f t="shared" si="1"/>
        <v>0.4463908571428572</v>
      </c>
      <c r="AA46" s="29">
        <f t="shared" si="1"/>
        <v>0.44387352380952194</v>
      </c>
      <c r="AB46" s="29">
        <f t="shared" si="1"/>
        <v>0.41765485714285866</v>
      </c>
      <c r="AC46" s="29">
        <f t="shared" si="1"/>
        <v>0.3841298285714263</v>
      </c>
      <c r="AD46" s="29">
        <f t="shared" si="1"/>
        <v>0.366506057142856</v>
      </c>
      <c r="AE46" s="29">
        <f t="shared" si="1"/>
        <v>0.34137173333333592</v>
      </c>
      <c r="AF46" s="29">
        <f t="shared" si="1"/>
        <v>0.44675352380952305</v>
      </c>
      <c r="AG46" s="29">
        <f t="shared" si="1"/>
        <v>0.43600761904761853</v>
      </c>
      <c r="AH46" s="29">
        <f t="shared" si="1"/>
        <v>0.36964571428571524</v>
      </c>
      <c r="AI46" s="29">
        <f t="shared" si="1"/>
        <v>0.40369493333333217</v>
      </c>
      <c r="AJ46" s="29">
        <f t="shared" si="1"/>
        <v>0.39004038095237803</v>
      </c>
      <c r="AK46" s="29">
        <f t="shared" si="1"/>
        <v>0.45321447619047817</v>
      </c>
      <c r="AL46" s="29">
        <f t="shared" si="1"/>
        <v>0.45846857142857012</v>
      </c>
      <c r="AM46" s="29">
        <f t="shared" si="1"/>
        <v>0.42995687619047374</v>
      </c>
      <c r="AN46" s="29">
        <f t="shared" si="1"/>
        <v>0.35954553904762143</v>
      </c>
      <c r="AO46" s="29">
        <f t="shared" si="1"/>
        <v>0.47730285714285969</v>
      </c>
      <c r="AP46" s="29">
        <f t="shared" si="1"/>
        <v>0.43390598095238353</v>
      </c>
      <c r="AQ46" s="29">
        <f t="shared" si="1"/>
        <v>0.40757942857143092</v>
      </c>
      <c r="AR46" s="29">
        <f t="shared" si="1"/>
        <v>0.32467638857142767</v>
      </c>
      <c r="AS46" s="29">
        <f t="shared" si="1"/>
        <v>0.24462021485714303</v>
      </c>
      <c r="AT46" s="29">
        <f t="shared" si="1"/>
        <v>0.24462021485714214</v>
      </c>
      <c r="AU46" s="29">
        <f t="shared" si="1"/>
        <v>0.21736843459047517</v>
      </c>
    </row>
    <row r="47" spans="3:47" ht="14.45" x14ac:dyDescent="0.3">
      <c r="F47">
        <v>1</v>
      </c>
      <c r="G47">
        <v>2</v>
      </c>
      <c r="H47">
        <v>3</v>
      </c>
      <c r="I47">
        <v>4</v>
      </c>
      <c r="J47">
        <v>5</v>
      </c>
      <c r="K47">
        <v>6</v>
      </c>
      <c r="L47">
        <v>7</v>
      </c>
      <c r="M47">
        <v>8</v>
      </c>
      <c r="N47">
        <v>9</v>
      </c>
      <c r="O47">
        <v>10</v>
      </c>
      <c r="P47">
        <v>11</v>
      </c>
      <c r="Q47">
        <v>12</v>
      </c>
      <c r="R47">
        <v>13</v>
      </c>
      <c r="S47">
        <v>14</v>
      </c>
      <c r="T47">
        <v>15</v>
      </c>
      <c r="U47">
        <v>16</v>
      </c>
      <c r="V47">
        <v>17</v>
      </c>
      <c r="W47">
        <v>18</v>
      </c>
      <c r="X47">
        <v>19</v>
      </c>
      <c r="Y47">
        <v>20</v>
      </c>
      <c r="Z47">
        <v>21</v>
      </c>
      <c r="AA47">
        <v>22</v>
      </c>
      <c r="AB47">
        <v>23</v>
      </c>
      <c r="AC47">
        <v>24</v>
      </c>
      <c r="AD47">
        <v>25</v>
      </c>
      <c r="AE47">
        <v>26</v>
      </c>
      <c r="AF47">
        <v>27</v>
      </c>
      <c r="AG47">
        <v>28</v>
      </c>
      <c r="AH47">
        <v>29</v>
      </c>
      <c r="AI47">
        <v>30</v>
      </c>
      <c r="AJ47">
        <v>31</v>
      </c>
      <c r="AK47">
        <v>32</v>
      </c>
      <c r="AL47">
        <v>33</v>
      </c>
      <c r="AM47">
        <v>34</v>
      </c>
      <c r="AN47">
        <v>35</v>
      </c>
      <c r="AO47">
        <v>36</v>
      </c>
      <c r="AP47">
        <v>37</v>
      </c>
      <c r="AQ47">
        <v>38</v>
      </c>
      <c r="AR47">
        <v>39</v>
      </c>
      <c r="AS47">
        <v>40</v>
      </c>
      <c r="AT47">
        <v>41</v>
      </c>
      <c r="AU47">
        <v>42</v>
      </c>
    </row>
    <row r="48" spans="3:47" ht="14.45" x14ac:dyDescent="0.3">
      <c r="F48" s="23">
        <f>F46/F45*20</f>
        <v>0.89445169855921269</v>
      </c>
      <c r="G48" s="23">
        <f t="shared" ref="G48:AU48" si="2">G46/G45*20</f>
        <v>0.86347213256775102</v>
      </c>
      <c r="H48" s="23">
        <f t="shared" si="2"/>
        <v>0.91454415487887575</v>
      </c>
      <c r="I48" s="23">
        <f t="shared" si="2"/>
        <v>0.82887476862205489</v>
      </c>
      <c r="J48" s="23">
        <f t="shared" si="2"/>
        <v>0.85805516031747397</v>
      </c>
      <c r="K48" s="23">
        <f t="shared" si="2"/>
        <v>0.98468322456898638</v>
      </c>
      <c r="L48" s="23">
        <f t="shared" si="2"/>
        <v>0.81541600453056828</v>
      </c>
      <c r="M48" s="23">
        <f t="shared" si="2"/>
        <v>0.91666123848241898</v>
      </c>
      <c r="N48" s="23">
        <f t="shared" si="2"/>
        <v>0.90361003254237804</v>
      </c>
      <c r="O48" s="23">
        <f t="shared" si="2"/>
        <v>0.89219152330876828</v>
      </c>
      <c r="P48" s="23">
        <f t="shared" si="2"/>
        <v>0.91237956603114501</v>
      </c>
      <c r="Q48" s="23">
        <f t="shared" si="2"/>
        <v>0.85039467818986947</v>
      </c>
      <c r="R48" s="23">
        <f t="shared" si="2"/>
        <v>1.0267864647713139</v>
      </c>
      <c r="S48" s="23">
        <f t="shared" si="2"/>
        <v>0.94362305387094203</v>
      </c>
      <c r="T48" s="23">
        <f t="shared" si="2"/>
        <v>0.9452212567782694</v>
      </c>
      <c r="U48" s="23">
        <f t="shared" si="2"/>
        <v>0.92110027079162671</v>
      </c>
      <c r="V48" s="23">
        <f t="shared" si="2"/>
        <v>0.81111398056622475</v>
      </c>
      <c r="W48" s="23">
        <f t="shared" si="2"/>
        <v>0.8414939308097793</v>
      </c>
      <c r="X48" s="23">
        <f t="shared" si="2"/>
        <v>0.9442953821421658</v>
      </c>
      <c r="Y48" s="23">
        <f t="shared" si="2"/>
        <v>0.86011390679780897</v>
      </c>
      <c r="Z48" s="23">
        <f t="shared" si="2"/>
        <v>0.82688297770003816</v>
      </c>
      <c r="AA48" s="23">
        <f t="shared" si="2"/>
        <v>0.8881221904322828</v>
      </c>
      <c r="AB48" s="23">
        <f t="shared" si="2"/>
        <v>0.8084860863086053</v>
      </c>
      <c r="AC48" s="23">
        <f t="shared" si="2"/>
        <v>0.90867683406334021</v>
      </c>
      <c r="AD48" s="23">
        <f t="shared" si="2"/>
        <v>1.0015105128798305</v>
      </c>
      <c r="AE48" s="23">
        <f t="shared" si="2"/>
        <v>0.96445421648115848</v>
      </c>
      <c r="AF48" s="23">
        <f t="shared" si="2"/>
        <v>0.86056065505249268</v>
      </c>
      <c r="AG48" s="23">
        <f t="shared" si="2"/>
        <v>0.90326682501379452</v>
      </c>
      <c r="AH48" s="23">
        <f t="shared" si="2"/>
        <v>0.90999982443733518</v>
      </c>
      <c r="AI48" s="23">
        <f t="shared" si="2"/>
        <v>0.90107644235942819</v>
      </c>
      <c r="AJ48" s="23">
        <f t="shared" si="2"/>
        <v>0.93265543066902545</v>
      </c>
      <c r="AK48" s="23">
        <f t="shared" si="2"/>
        <v>0.83295805383412802</v>
      </c>
      <c r="AL48" s="23">
        <f t="shared" si="2"/>
        <v>0.85415854013752857</v>
      </c>
      <c r="AM48" s="23">
        <f t="shared" si="2"/>
        <v>0.90131481940047475</v>
      </c>
      <c r="AN48" s="23">
        <f t="shared" si="2"/>
        <v>0.97503989224367427</v>
      </c>
      <c r="AO48" s="23">
        <f t="shared" si="2"/>
        <v>0.83748157155530922</v>
      </c>
      <c r="AP48" s="23">
        <f t="shared" si="2"/>
        <v>0.83305862223637939</v>
      </c>
      <c r="AQ48" s="23">
        <f t="shared" si="2"/>
        <v>0.90037813498381303</v>
      </c>
      <c r="AR48" s="23">
        <f t="shared" si="2"/>
        <v>0.91839594286082304</v>
      </c>
      <c r="AS48" s="23">
        <f t="shared" si="2"/>
        <v>0.88850932993814968</v>
      </c>
      <c r="AT48" s="23">
        <f t="shared" si="2"/>
        <v>0.88850932993814635</v>
      </c>
      <c r="AU48" s="23">
        <f t="shared" si="2"/>
        <v>1.0390997904106294</v>
      </c>
    </row>
    <row r="49" spans="6:47" ht="14.45" x14ac:dyDescent="0.3">
      <c r="F49" t="s">
        <v>0</v>
      </c>
      <c r="G49" t="s">
        <v>0</v>
      </c>
      <c r="H49" t="s">
        <v>0</v>
      </c>
      <c r="I49" t="s">
        <v>0</v>
      </c>
      <c r="J49" t="s">
        <v>0</v>
      </c>
      <c r="K49" t="s">
        <v>0</v>
      </c>
      <c r="L49" t="s">
        <v>0</v>
      </c>
      <c r="M49" t="s">
        <v>0</v>
      </c>
      <c r="N49" t="s">
        <v>0</v>
      </c>
      <c r="O49" t="s">
        <v>1</v>
      </c>
      <c r="P49" t="s">
        <v>1</v>
      </c>
      <c r="Q49" t="s">
        <v>1</v>
      </c>
      <c r="R49" t="s">
        <v>1</v>
      </c>
      <c r="S49" t="s">
        <v>2</v>
      </c>
      <c r="T49" t="s">
        <v>2</v>
      </c>
      <c r="U49" t="s">
        <v>2</v>
      </c>
      <c r="V49" t="s">
        <v>2</v>
      </c>
      <c r="W49" t="s">
        <v>2</v>
      </c>
      <c r="X49" t="s">
        <v>2</v>
      </c>
      <c r="Y49" t="s">
        <v>2</v>
      </c>
      <c r="Z49" t="s">
        <v>3</v>
      </c>
      <c r="AA49" t="s">
        <v>3</v>
      </c>
      <c r="AB49" t="s">
        <v>3</v>
      </c>
      <c r="AC49" t="s">
        <v>3</v>
      </c>
      <c r="AD49" t="s">
        <v>3</v>
      </c>
      <c r="AE49" t="s">
        <v>3</v>
      </c>
      <c r="AF49" t="s">
        <v>4</v>
      </c>
      <c r="AG49" t="s">
        <v>4</v>
      </c>
      <c r="AH49" t="s">
        <v>4</v>
      </c>
      <c r="AI49" t="s">
        <v>4</v>
      </c>
      <c r="AJ49" t="s">
        <v>4</v>
      </c>
      <c r="AK49" t="s">
        <v>4</v>
      </c>
      <c r="AL49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5</v>
      </c>
      <c r="AS49" t="s">
        <v>5</v>
      </c>
      <c r="AT49" t="s">
        <v>5</v>
      </c>
      <c r="AU49" t="s">
        <v>5</v>
      </c>
    </row>
    <row r="51" spans="6:47" x14ac:dyDescent="0.25">
      <c r="H51" s="23">
        <v>0.89445169855921269</v>
      </c>
      <c r="I51" t="s">
        <v>0</v>
      </c>
    </row>
    <row r="52" spans="6:47" x14ac:dyDescent="0.25">
      <c r="H52" s="23">
        <v>0.86347213256775102</v>
      </c>
      <c r="I52" t="s">
        <v>0</v>
      </c>
    </row>
    <row r="53" spans="6:47" x14ac:dyDescent="0.25">
      <c r="H53" s="23">
        <v>0.91454415487887575</v>
      </c>
      <c r="I53" t="s">
        <v>0</v>
      </c>
    </row>
    <row r="54" spans="6:47" x14ac:dyDescent="0.25">
      <c r="H54" s="23">
        <v>0.82887476862205489</v>
      </c>
      <c r="I54" t="s">
        <v>0</v>
      </c>
    </row>
    <row r="55" spans="6:47" x14ac:dyDescent="0.25">
      <c r="H55" s="23">
        <v>0.85805516031747397</v>
      </c>
      <c r="I55" t="s">
        <v>0</v>
      </c>
    </row>
    <row r="56" spans="6:47" x14ac:dyDescent="0.25">
      <c r="H56" s="23">
        <v>0.98468322456898638</v>
      </c>
      <c r="I56" t="s">
        <v>0</v>
      </c>
    </row>
    <row r="57" spans="6:47" x14ac:dyDescent="0.25">
      <c r="H57" s="23">
        <v>0.81541600453056828</v>
      </c>
      <c r="I57" t="s">
        <v>0</v>
      </c>
    </row>
    <row r="58" spans="6:47" x14ac:dyDescent="0.25">
      <c r="H58" s="23">
        <v>0.91666123848241898</v>
      </c>
      <c r="I58" t="s">
        <v>0</v>
      </c>
    </row>
    <row r="59" spans="6:47" x14ac:dyDescent="0.25">
      <c r="H59" s="23">
        <v>0.90361003254237804</v>
      </c>
      <c r="I59" t="s">
        <v>0</v>
      </c>
    </row>
    <row r="60" spans="6:47" x14ac:dyDescent="0.25">
      <c r="H60" s="23">
        <v>0.89219152330876828</v>
      </c>
      <c r="I60" t="s">
        <v>1</v>
      </c>
    </row>
    <row r="61" spans="6:47" x14ac:dyDescent="0.25">
      <c r="H61" s="23">
        <v>0.91237956603114501</v>
      </c>
      <c r="I61" t="s">
        <v>1</v>
      </c>
    </row>
    <row r="62" spans="6:47" x14ac:dyDescent="0.25">
      <c r="H62" s="23">
        <v>0.85039467818986947</v>
      </c>
      <c r="I62" t="s">
        <v>1</v>
      </c>
    </row>
    <row r="63" spans="6:47" x14ac:dyDescent="0.25">
      <c r="H63" s="23">
        <v>1.0267864647713139</v>
      </c>
      <c r="I63" t="s">
        <v>1</v>
      </c>
    </row>
    <row r="64" spans="6:47" x14ac:dyDescent="0.25">
      <c r="H64" s="23">
        <v>0.94362305387094203</v>
      </c>
      <c r="I64" t="s">
        <v>2</v>
      </c>
    </row>
    <row r="65" spans="8:9" x14ac:dyDescent="0.25">
      <c r="H65" s="23">
        <v>0.9452212567782694</v>
      </c>
      <c r="I65" t="s">
        <v>2</v>
      </c>
    </row>
    <row r="66" spans="8:9" x14ac:dyDescent="0.25">
      <c r="H66" s="23">
        <v>0.92110027079162671</v>
      </c>
      <c r="I66" t="s">
        <v>2</v>
      </c>
    </row>
    <row r="67" spans="8:9" x14ac:dyDescent="0.25">
      <c r="H67" s="23">
        <v>0.81111398056622475</v>
      </c>
      <c r="I67" t="s">
        <v>2</v>
      </c>
    </row>
    <row r="68" spans="8:9" x14ac:dyDescent="0.25">
      <c r="H68" s="23">
        <v>0.8414939308097793</v>
      </c>
      <c r="I68" t="s">
        <v>2</v>
      </c>
    </row>
    <row r="69" spans="8:9" x14ac:dyDescent="0.25">
      <c r="H69" s="23">
        <v>0.9442953821421658</v>
      </c>
      <c r="I69" t="s">
        <v>2</v>
      </c>
    </row>
    <row r="70" spans="8:9" x14ac:dyDescent="0.25">
      <c r="H70" s="23">
        <v>0.86011390679780897</v>
      </c>
      <c r="I70" t="s">
        <v>2</v>
      </c>
    </row>
    <row r="71" spans="8:9" x14ac:dyDescent="0.25">
      <c r="H71" s="23">
        <v>0.82688297770003816</v>
      </c>
      <c r="I71" t="s">
        <v>3</v>
      </c>
    </row>
    <row r="72" spans="8:9" x14ac:dyDescent="0.25">
      <c r="H72" s="23">
        <v>0.8881221904322828</v>
      </c>
      <c r="I72" t="s">
        <v>3</v>
      </c>
    </row>
    <row r="73" spans="8:9" x14ac:dyDescent="0.25">
      <c r="H73" s="23">
        <v>0.8084860863086053</v>
      </c>
      <c r="I73" t="s">
        <v>3</v>
      </c>
    </row>
    <row r="74" spans="8:9" x14ac:dyDescent="0.25">
      <c r="H74" s="23">
        <v>0.90867683406334021</v>
      </c>
      <c r="I74" t="s">
        <v>3</v>
      </c>
    </row>
    <row r="75" spans="8:9" x14ac:dyDescent="0.25">
      <c r="H75" s="23">
        <v>1.0015105128798305</v>
      </c>
      <c r="I75" t="s">
        <v>3</v>
      </c>
    </row>
    <row r="76" spans="8:9" x14ac:dyDescent="0.25">
      <c r="H76" s="23">
        <v>0.96445421648115848</v>
      </c>
      <c r="I76" t="s">
        <v>3</v>
      </c>
    </row>
    <row r="77" spans="8:9" x14ac:dyDescent="0.25">
      <c r="H77" s="23">
        <v>0.86056065505249268</v>
      </c>
      <c r="I77" t="s">
        <v>4</v>
      </c>
    </row>
    <row r="78" spans="8:9" x14ac:dyDescent="0.25">
      <c r="H78" s="23">
        <v>0.90326682501379452</v>
      </c>
      <c r="I78" t="s">
        <v>4</v>
      </c>
    </row>
    <row r="79" spans="8:9" x14ac:dyDescent="0.25">
      <c r="H79" s="23">
        <v>0.90999982443733518</v>
      </c>
      <c r="I79" t="s">
        <v>4</v>
      </c>
    </row>
    <row r="80" spans="8:9" x14ac:dyDescent="0.25">
      <c r="H80" s="23">
        <v>0.90107644235942819</v>
      </c>
      <c r="I80" t="s">
        <v>4</v>
      </c>
    </row>
    <row r="81" spans="8:9" x14ac:dyDescent="0.25">
      <c r="H81" s="23">
        <v>0.93265543066902545</v>
      </c>
      <c r="I81" t="s">
        <v>4</v>
      </c>
    </row>
    <row r="82" spans="8:9" x14ac:dyDescent="0.25">
      <c r="H82" s="23">
        <v>0.83295805383412802</v>
      </c>
      <c r="I82" t="s">
        <v>4</v>
      </c>
    </row>
    <row r="83" spans="8:9" x14ac:dyDescent="0.25">
      <c r="H83" s="23">
        <v>0.85415854013752857</v>
      </c>
      <c r="I83" t="s">
        <v>4</v>
      </c>
    </row>
    <row r="84" spans="8:9" x14ac:dyDescent="0.25">
      <c r="H84" s="23">
        <v>0.90131481940047475</v>
      </c>
      <c r="I84" t="s">
        <v>4</v>
      </c>
    </row>
    <row r="85" spans="8:9" x14ac:dyDescent="0.25">
      <c r="H85" s="23">
        <v>0.97503989224367427</v>
      </c>
      <c r="I85" t="s">
        <v>4</v>
      </c>
    </row>
    <row r="86" spans="8:9" x14ac:dyDescent="0.25">
      <c r="H86" s="23">
        <v>0.83748157155530922</v>
      </c>
      <c r="I86" t="s">
        <v>4</v>
      </c>
    </row>
    <row r="87" spans="8:9" x14ac:dyDescent="0.25">
      <c r="H87" s="23">
        <v>0.83305862223637939</v>
      </c>
      <c r="I87" t="s">
        <v>4</v>
      </c>
    </row>
    <row r="88" spans="8:9" x14ac:dyDescent="0.25">
      <c r="H88" s="23">
        <v>0.90037813498381303</v>
      </c>
      <c r="I88" t="s">
        <v>4</v>
      </c>
    </row>
    <row r="89" spans="8:9" x14ac:dyDescent="0.25">
      <c r="H89" s="23">
        <v>0.91839594286082304</v>
      </c>
      <c r="I89" t="s">
        <v>5</v>
      </c>
    </row>
    <row r="90" spans="8:9" x14ac:dyDescent="0.25">
      <c r="H90" s="23">
        <v>0.88850932993814968</v>
      </c>
      <c r="I90" t="s">
        <v>5</v>
      </c>
    </row>
    <row r="91" spans="8:9" x14ac:dyDescent="0.25">
      <c r="H91" s="23">
        <v>0.88850932993814635</v>
      </c>
      <c r="I91" t="s">
        <v>5</v>
      </c>
    </row>
    <row r="92" spans="8:9" x14ac:dyDescent="0.25">
      <c r="H92" s="23">
        <v>1.0390997904106294</v>
      </c>
      <c r="I92" t="s">
        <v>5</v>
      </c>
    </row>
    <row r="94" spans="8:9" x14ac:dyDescent="0.25">
      <c r="H94" s="22">
        <f t="shared" ref="H94:H99" si="3">SUMIF($I$51:$I$92,I94,$H$51:$H$92)/COUNTIF($I$51:$I$92,I94)</f>
        <v>0.88664093500774654</v>
      </c>
      <c r="I94" t="s">
        <v>0</v>
      </c>
    </row>
    <row r="95" spans="8:9" x14ac:dyDescent="0.25">
      <c r="H95" s="22">
        <f t="shared" si="3"/>
        <v>0.88682906766028191</v>
      </c>
      <c r="I95" t="s">
        <v>4</v>
      </c>
    </row>
    <row r="96" spans="8:9" x14ac:dyDescent="0.25">
      <c r="H96" s="22">
        <f t="shared" si="3"/>
        <v>0.89528025453668802</v>
      </c>
      <c r="I96" t="s">
        <v>2</v>
      </c>
    </row>
    <row r="97" spans="8:9" x14ac:dyDescent="0.25">
      <c r="H97" s="22">
        <f t="shared" si="3"/>
        <v>0.89968880297754261</v>
      </c>
      <c r="I97" t="s">
        <v>3</v>
      </c>
    </row>
    <row r="98" spans="8:9" x14ac:dyDescent="0.25">
      <c r="H98" s="22">
        <f t="shared" si="3"/>
        <v>0.92043805807527412</v>
      </c>
      <c r="I98" t="s">
        <v>1</v>
      </c>
    </row>
    <row r="99" spans="8:9" x14ac:dyDescent="0.25">
      <c r="H99" s="22">
        <f t="shared" si="3"/>
        <v>0.93362859828693723</v>
      </c>
      <c r="I99" t="s">
        <v>5</v>
      </c>
    </row>
  </sheetData>
  <sortState ref="H94:I99">
    <sortCondition ref="H94:H99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F1:AU49"/>
  <sheetViews>
    <sheetView zoomScale="55" zoomScaleNormal="55" workbookViewId="0"/>
  </sheetViews>
  <sheetFormatPr defaultRowHeight="15" x14ac:dyDescent="0.25"/>
  <cols>
    <col min="6" max="47" width="2.7109375" customWidth="1"/>
  </cols>
  <sheetData>
    <row r="1" spans="6:47" ht="14.45" x14ac:dyDescent="0.3">
      <c r="F1" s="27">
        <v>13.510143999999993</v>
      </c>
      <c r="G1" s="27">
        <v>15.712127999999989</v>
      </c>
      <c r="H1" s="27">
        <v>15.14754559999999</v>
      </c>
      <c r="I1" s="27">
        <v>15.48172799999999</v>
      </c>
      <c r="J1" s="27">
        <v>14.99445759999999</v>
      </c>
      <c r="K1" s="27">
        <v>12.382351359999994</v>
      </c>
      <c r="L1" s="27">
        <v>14.27394559999999</v>
      </c>
      <c r="M1" s="27">
        <v>12.75815935999999</v>
      </c>
      <c r="N1" s="27">
        <v>12.91687935999999</v>
      </c>
      <c r="O1" s="27">
        <v>12.959119359999992</v>
      </c>
      <c r="P1" s="27">
        <v>11.494159359999996</v>
      </c>
      <c r="Q1" s="27">
        <v>14.625305599999994</v>
      </c>
      <c r="R1" s="27">
        <v>9.9751833600000008</v>
      </c>
      <c r="S1" s="27">
        <v>14.76866559999999</v>
      </c>
      <c r="T1" s="27">
        <v>14.784665599999993</v>
      </c>
      <c r="U1" s="27">
        <v>15.227775999999988</v>
      </c>
      <c r="V1" s="27">
        <v>18.568959999999997</v>
      </c>
      <c r="W1" s="27">
        <v>15.998335999999991</v>
      </c>
      <c r="X1" s="27">
        <v>15.55097599999999</v>
      </c>
      <c r="Y1" s="27">
        <v>17.735679999999999</v>
      </c>
      <c r="Z1" s="27">
        <v>17.328256</v>
      </c>
      <c r="AA1" s="27">
        <v>15.992959999999991</v>
      </c>
      <c r="AB1" s="27">
        <v>16.552959999999995</v>
      </c>
      <c r="AC1" s="27">
        <v>13.424511999999993</v>
      </c>
      <c r="AD1" s="27">
        <v>11.531775999999994</v>
      </c>
      <c r="AE1" s="27">
        <v>11.131775999999993</v>
      </c>
      <c r="AF1" s="27">
        <v>16.862719999999999</v>
      </c>
      <c r="AG1" s="27">
        <v>16.126079999999998</v>
      </c>
      <c r="AH1" s="27">
        <v>14.214015999999994</v>
      </c>
      <c r="AI1" s="27">
        <v>16.808959999999999</v>
      </c>
      <c r="AJ1" s="27">
        <v>14.614015999999994</v>
      </c>
      <c r="AK1" s="27">
        <v>17.69472</v>
      </c>
      <c r="AL1" s="27">
        <v>17.927680000000002</v>
      </c>
      <c r="AM1" s="27">
        <v>16.574976000000003</v>
      </c>
      <c r="AN1" s="27">
        <v>13.067135999999993</v>
      </c>
      <c r="AO1" s="27">
        <v>18.382719999999996</v>
      </c>
      <c r="AP1" s="27">
        <v>17.002879999999998</v>
      </c>
      <c r="AQ1" s="27">
        <v>14.844159999999999</v>
      </c>
      <c r="AR1" s="27">
        <v>11.370496000000001</v>
      </c>
      <c r="AS1" s="27">
        <v>8.6622975999999987</v>
      </c>
      <c r="AT1" s="27">
        <v>8.6622975999999987</v>
      </c>
      <c r="AU1" s="27">
        <v>6.3973785599999999</v>
      </c>
    </row>
    <row r="2" spans="6:47" ht="14.45" x14ac:dyDescent="0.3">
      <c r="F2" s="27">
        <v>15.712127999999989</v>
      </c>
      <c r="G2" s="27">
        <v>13.585817599999992</v>
      </c>
      <c r="H2" s="27">
        <v>15.947545599999989</v>
      </c>
      <c r="I2" s="27">
        <v>14.594457599999989</v>
      </c>
      <c r="J2" s="27">
        <v>15.39445759999999</v>
      </c>
      <c r="K2" s="27">
        <v>12.622351359999994</v>
      </c>
      <c r="L2" s="27">
        <v>12.99815935999999</v>
      </c>
      <c r="M2" s="27">
        <v>12.99815935999999</v>
      </c>
      <c r="N2" s="27">
        <v>12.244719615999992</v>
      </c>
      <c r="O2" s="27">
        <v>12.665359359999991</v>
      </c>
      <c r="P2" s="27">
        <v>11.317903359999999</v>
      </c>
      <c r="Q2" s="27">
        <v>14.542361599999994</v>
      </c>
      <c r="R2" s="27">
        <v>9.9254169600000015</v>
      </c>
      <c r="S2" s="27">
        <v>15.24866559999999</v>
      </c>
      <c r="T2" s="27">
        <v>15.072665599999992</v>
      </c>
      <c r="U2" s="27">
        <v>15.515775999999988</v>
      </c>
      <c r="V2" s="27">
        <v>18.741759999999999</v>
      </c>
      <c r="W2" s="27">
        <v>16.171135999999994</v>
      </c>
      <c r="X2" s="27">
        <v>15.72377599999999</v>
      </c>
      <c r="Y2" s="27">
        <v>17.839359999999996</v>
      </c>
      <c r="Z2" s="27">
        <v>17.380095999999998</v>
      </c>
      <c r="AA2" s="27">
        <v>15.992959999999991</v>
      </c>
      <c r="AB2" s="27">
        <v>16.552959999999995</v>
      </c>
      <c r="AC2" s="27">
        <v>13.455615999999992</v>
      </c>
      <c r="AD2" s="27">
        <v>11.531775999999994</v>
      </c>
      <c r="AE2" s="27">
        <v>11.131775999999993</v>
      </c>
      <c r="AF2" s="27">
        <v>16.638079999999999</v>
      </c>
      <c r="AG2" s="27">
        <v>15.699839999999996</v>
      </c>
      <c r="AH2" s="27">
        <v>13.420671999999994</v>
      </c>
      <c r="AI2" s="27">
        <v>15.403775999999993</v>
      </c>
      <c r="AJ2" s="27">
        <v>13.820671999999995</v>
      </c>
      <c r="AK2" s="27">
        <v>17.470079999999999</v>
      </c>
      <c r="AL2" s="27">
        <v>17.501440000000002</v>
      </c>
      <c r="AM2" s="27">
        <v>15.781631999999997</v>
      </c>
      <c r="AN2" s="27">
        <v>12.224025599999994</v>
      </c>
      <c r="AO2" s="27">
        <v>18.382719999999996</v>
      </c>
      <c r="AP2" s="27">
        <v>16.778239999999997</v>
      </c>
      <c r="AQ2" s="27">
        <v>14.588415999999999</v>
      </c>
      <c r="AR2" s="27">
        <v>11.217049600000001</v>
      </c>
      <c r="AS2" s="27">
        <v>8.5702297600000001</v>
      </c>
      <c r="AT2" s="27">
        <v>8.5702297600000001</v>
      </c>
      <c r="AU2" s="27">
        <v>6.3421378560000008</v>
      </c>
    </row>
    <row r="3" spans="6:47" ht="14.45" x14ac:dyDescent="0.3">
      <c r="F3" s="27">
        <v>14.672127999999992</v>
      </c>
      <c r="G3" s="27">
        <v>15.947545599999989</v>
      </c>
      <c r="H3" s="27">
        <v>14.027279359999991</v>
      </c>
      <c r="I3" s="27">
        <v>14.194457599999991</v>
      </c>
      <c r="J3" s="27">
        <v>15.835919359999988</v>
      </c>
      <c r="K3" s="27">
        <v>15.035919359999991</v>
      </c>
      <c r="L3" s="27">
        <v>13.94087935999999</v>
      </c>
      <c r="M3" s="27">
        <v>13.028719615999991</v>
      </c>
      <c r="N3" s="27">
        <v>12.561519615999991</v>
      </c>
      <c r="O3" s="27">
        <v>12.751759359999992</v>
      </c>
      <c r="P3" s="27">
        <v>11.317903359999999</v>
      </c>
      <c r="Q3" s="27">
        <v>14.542361599999994</v>
      </c>
      <c r="R3" s="27">
        <v>9.9254169600000015</v>
      </c>
      <c r="S3" s="27">
        <v>17.159065599999991</v>
      </c>
      <c r="T3" s="27">
        <v>16.167065599999987</v>
      </c>
      <c r="U3" s="27">
        <v>16.610175999999992</v>
      </c>
      <c r="V3" s="27">
        <v>19.34656</v>
      </c>
      <c r="W3" s="27">
        <v>16.775935999999998</v>
      </c>
      <c r="X3" s="27">
        <v>16.328575999999995</v>
      </c>
      <c r="Y3" s="27">
        <v>18.098559999999996</v>
      </c>
      <c r="Z3" s="27">
        <v>17.639296000000002</v>
      </c>
      <c r="AA3" s="27">
        <v>16.148479999999996</v>
      </c>
      <c r="AB3" s="27">
        <v>16.708479999999998</v>
      </c>
      <c r="AC3" s="27">
        <v>13.611135999999993</v>
      </c>
      <c r="AD3" s="27">
        <v>11.625087999999993</v>
      </c>
      <c r="AE3" s="27">
        <v>11.225087999999994</v>
      </c>
      <c r="AF3" s="27">
        <v>17.000959999999999</v>
      </c>
      <c r="AG3" s="27">
        <v>15.475199999999996</v>
      </c>
      <c r="AH3" s="27">
        <v>13.046271999999995</v>
      </c>
      <c r="AI3" s="27">
        <v>14.779775999999995</v>
      </c>
      <c r="AJ3" s="27">
        <v>13.446271999999995</v>
      </c>
      <c r="AK3" s="27">
        <v>17.832959999999996</v>
      </c>
      <c r="AL3" s="27">
        <v>17.276800000000001</v>
      </c>
      <c r="AM3" s="27">
        <v>15.407231999999995</v>
      </c>
      <c r="AN3" s="27">
        <v>11.849625599999996</v>
      </c>
      <c r="AO3" s="27">
        <v>18.745599999999996</v>
      </c>
      <c r="AP3" s="27">
        <v>16.830079999999999</v>
      </c>
      <c r="AQ3" s="27">
        <v>14.453631999999999</v>
      </c>
      <c r="AR3" s="27">
        <v>11.136179199999999</v>
      </c>
      <c r="AS3" s="27">
        <v>8.5217075199999996</v>
      </c>
      <c r="AT3" s="27">
        <v>8.5217075199999996</v>
      </c>
      <c r="AU3" s="27">
        <v>6.3130245120000001</v>
      </c>
    </row>
    <row r="4" spans="6:47" ht="14.45" x14ac:dyDescent="0.3">
      <c r="F4" s="27">
        <v>15.48172799999999</v>
      </c>
      <c r="G4" s="27">
        <v>14.594457599999989</v>
      </c>
      <c r="H4" s="27">
        <v>14.027279359999991</v>
      </c>
      <c r="I4" s="27">
        <v>13.303577599999992</v>
      </c>
      <c r="J4" s="27">
        <v>15.39445759999999</v>
      </c>
      <c r="K4" s="27">
        <v>12.622351359999994</v>
      </c>
      <c r="L4" s="27">
        <v>15.073945599999989</v>
      </c>
      <c r="M4" s="27">
        <v>12.99815935999999</v>
      </c>
      <c r="N4" s="27">
        <v>13.396879359999991</v>
      </c>
      <c r="O4" s="27">
        <v>13.24711935999999</v>
      </c>
      <c r="P4" s="27">
        <v>11.666959359999995</v>
      </c>
      <c r="Q4" s="27">
        <v>14.798105599999994</v>
      </c>
      <c r="R4" s="27">
        <v>10.07886336</v>
      </c>
      <c r="S4" s="27">
        <v>14.279065599999992</v>
      </c>
      <c r="T4" s="27">
        <v>14.646425599999993</v>
      </c>
      <c r="U4" s="27">
        <v>15.141375999999989</v>
      </c>
      <c r="V4" s="27">
        <v>18.568959999999997</v>
      </c>
      <c r="W4" s="27">
        <v>15.946495999999991</v>
      </c>
      <c r="X4" s="27">
        <v>15.55097599999999</v>
      </c>
      <c r="Y4" s="27">
        <v>17.735679999999999</v>
      </c>
      <c r="Z4" s="27">
        <v>17.380095999999998</v>
      </c>
      <c r="AA4" s="27">
        <v>15.992959999999991</v>
      </c>
      <c r="AB4" s="27">
        <v>16.552959999999995</v>
      </c>
      <c r="AC4" s="27">
        <v>13.455615999999992</v>
      </c>
      <c r="AD4" s="27">
        <v>11.531775999999994</v>
      </c>
      <c r="AE4" s="27">
        <v>11.131775999999993</v>
      </c>
      <c r="AF4" s="27">
        <v>16.689920000000001</v>
      </c>
      <c r="AG4" s="27">
        <v>15.751679999999997</v>
      </c>
      <c r="AH4" s="27">
        <v>13.503615999999994</v>
      </c>
      <c r="AI4" s="27">
        <v>15.400319999999994</v>
      </c>
      <c r="AJ4" s="27">
        <v>13.903615999999994</v>
      </c>
      <c r="AK4" s="27">
        <v>17.521919999999998</v>
      </c>
      <c r="AL4" s="27">
        <v>17.553280000000001</v>
      </c>
      <c r="AM4" s="27">
        <v>15.864575999999998</v>
      </c>
      <c r="AN4" s="27">
        <v>12.304895999999994</v>
      </c>
      <c r="AO4" s="27">
        <v>18.330879999999997</v>
      </c>
      <c r="AP4" s="27">
        <v>16.830079999999999</v>
      </c>
      <c r="AQ4" s="27">
        <v>14.619519999999998</v>
      </c>
      <c r="AR4" s="27">
        <v>11.235712000000001</v>
      </c>
      <c r="AS4" s="27">
        <v>8.5814272000000003</v>
      </c>
      <c r="AT4" s="27">
        <v>8.5814272000000003</v>
      </c>
      <c r="AU4" s="27">
        <v>6.3488563200000003</v>
      </c>
    </row>
    <row r="5" spans="6:47" ht="14.45" x14ac:dyDescent="0.3">
      <c r="F5" s="27">
        <v>13.990143999999994</v>
      </c>
      <c r="G5" s="27">
        <v>15.39445759999999</v>
      </c>
      <c r="H5" s="27">
        <v>15.835919359999988</v>
      </c>
      <c r="I5" s="27">
        <v>15.39445759999999</v>
      </c>
      <c r="J5" s="27">
        <v>13.82235135999999</v>
      </c>
      <c r="K5" s="27">
        <v>13.82235135999999</v>
      </c>
      <c r="L5" s="27">
        <v>15.140879359999989</v>
      </c>
      <c r="M5" s="27">
        <v>15.140879359999989</v>
      </c>
      <c r="N5" s="27">
        <v>13.041519615999992</v>
      </c>
      <c r="O5" s="27">
        <v>13.039759359999989</v>
      </c>
      <c r="P5" s="27">
        <v>11.490703359999998</v>
      </c>
      <c r="Q5" s="27">
        <v>14.715161599999995</v>
      </c>
      <c r="R5" s="27">
        <v>10.02909696</v>
      </c>
      <c r="S5" s="27">
        <v>15.229465599999992</v>
      </c>
      <c r="T5" s="27">
        <v>15.164825599999993</v>
      </c>
      <c r="U5" s="27">
        <v>15.659775999999988</v>
      </c>
      <c r="V5" s="27">
        <v>18.828159999999997</v>
      </c>
      <c r="W5" s="27">
        <v>16.205695999999993</v>
      </c>
      <c r="X5" s="27">
        <v>15.810175999999991</v>
      </c>
      <c r="Y5" s="27">
        <v>17.787519999999997</v>
      </c>
      <c r="Z5" s="27">
        <v>17.328256</v>
      </c>
      <c r="AA5" s="27">
        <v>15.992959999999991</v>
      </c>
      <c r="AB5" s="27">
        <v>16.552959999999995</v>
      </c>
      <c r="AC5" s="27">
        <v>13.424511999999993</v>
      </c>
      <c r="AD5" s="27">
        <v>11.531775999999994</v>
      </c>
      <c r="AE5" s="27">
        <v>11.131775999999993</v>
      </c>
      <c r="AF5" s="27">
        <v>16.741759999999999</v>
      </c>
      <c r="AG5" s="27">
        <v>15.527039999999996</v>
      </c>
      <c r="AH5" s="27">
        <v>13.046271999999995</v>
      </c>
      <c r="AI5" s="27">
        <v>14.555135999999992</v>
      </c>
      <c r="AJ5" s="27">
        <v>13.446271999999995</v>
      </c>
      <c r="AK5" s="27">
        <v>17.573759999999996</v>
      </c>
      <c r="AL5" s="27">
        <v>17.32864</v>
      </c>
      <c r="AM5" s="27">
        <v>15.407231999999995</v>
      </c>
      <c r="AN5" s="27">
        <v>11.797785599999996</v>
      </c>
      <c r="AO5" s="27">
        <v>18.486399999999996</v>
      </c>
      <c r="AP5" s="27">
        <v>16.726399999999998</v>
      </c>
      <c r="AQ5" s="27">
        <v>14.484735999999998</v>
      </c>
      <c r="AR5" s="27">
        <v>11.154841599999999</v>
      </c>
      <c r="AS5" s="27">
        <v>8.5329049599999998</v>
      </c>
      <c r="AT5" s="27">
        <v>8.5329049599999998</v>
      </c>
      <c r="AU5" s="27">
        <v>6.3197429760000006</v>
      </c>
    </row>
    <row r="6" spans="6:47" ht="14.45" x14ac:dyDescent="0.3">
      <c r="F6" s="27">
        <v>13.510143999999993</v>
      </c>
      <c r="G6" s="27">
        <v>13.585817599999992</v>
      </c>
      <c r="H6" s="27">
        <v>15.035919359999991</v>
      </c>
      <c r="I6" s="27">
        <v>13.303577599999992</v>
      </c>
      <c r="J6" s="27">
        <v>13.82235135999999</v>
      </c>
      <c r="K6" s="27">
        <v>11.710191615999996</v>
      </c>
      <c r="L6" s="27">
        <v>12.99815935999999</v>
      </c>
      <c r="M6" s="27">
        <v>13.428719615999992</v>
      </c>
      <c r="N6" s="27">
        <v>12.801519615999991</v>
      </c>
      <c r="O6" s="27">
        <v>12.895759359999991</v>
      </c>
      <c r="P6" s="27">
        <v>11.404303359999998</v>
      </c>
      <c r="Q6" s="27">
        <v>14.628761599999995</v>
      </c>
      <c r="R6" s="27">
        <v>9.9772569600000001</v>
      </c>
      <c r="S6" s="27">
        <v>14.749465599999992</v>
      </c>
      <c r="T6" s="27">
        <v>14.876825599999993</v>
      </c>
      <c r="U6" s="27">
        <v>15.37177599999999</v>
      </c>
      <c r="V6" s="27">
        <v>18.655359999999998</v>
      </c>
      <c r="W6" s="27">
        <v>16.03289599999999</v>
      </c>
      <c r="X6" s="27">
        <v>15.637375999999991</v>
      </c>
      <c r="Y6" s="27">
        <v>17.735679999999999</v>
      </c>
      <c r="Z6" s="27">
        <v>17.328256</v>
      </c>
      <c r="AA6" s="27">
        <v>15.992959999999991</v>
      </c>
      <c r="AB6" s="27">
        <v>16.552959999999995</v>
      </c>
      <c r="AC6" s="27">
        <v>13.424511999999993</v>
      </c>
      <c r="AD6" s="27">
        <v>11.531775999999994</v>
      </c>
      <c r="AE6" s="27">
        <v>11.131775999999993</v>
      </c>
      <c r="AF6" s="27">
        <v>16.689920000000001</v>
      </c>
      <c r="AG6" s="27">
        <v>15.423359999999997</v>
      </c>
      <c r="AH6" s="27">
        <v>12.873471999999992</v>
      </c>
      <c r="AI6" s="27">
        <v>14.267135999999994</v>
      </c>
      <c r="AJ6" s="27">
        <v>13.273471999999993</v>
      </c>
      <c r="AK6" s="27">
        <v>17.521919999999998</v>
      </c>
      <c r="AL6" s="27">
        <v>17.224959999999999</v>
      </c>
      <c r="AM6" s="27">
        <v>15.234431999999996</v>
      </c>
      <c r="AN6" s="27">
        <v>11.624985599999997</v>
      </c>
      <c r="AO6" s="27">
        <v>18.382719999999996</v>
      </c>
      <c r="AP6" s="27">
        <v>16.726399999999998</v>
      </c>
      <c r="AQ6" s="27">
        <v>14.422527999999998</v>
      </c>
      <c r="AR6" s="27">
        <v>11.117516799999999</v>
      </c>
      <c r="AS6" s="27">
        <v>8.5105100799999995</v>
      </c>
      <c r="AT6" s="27">
        <v>8.5105100799999995</v>
      </c>
      <c r="AU6" s="27">
        <v>6.3063060479999997</v>
      </c>
    </row>
    <row r="7" spans="6:47" ht="14.45" x14ac:dyDescent="0.3">
      <c r="F7" s="27">
        <v>14.441727999999994</v>
      </c>
      <c r="G7" s="27">
        <v>14.194457599999991</v>
      </c>
      <c r="H7" s="27">
        <v>14.63591935999999</v>
      </c>
      <c r="I7" s="27">
        <v>15.073945599999989</v>
      </c>
      <c r="J7" s="27">
        <v>15.140879359999989</v>
      </c>
      <c r="K7" s="27">
        <v>11.710191615999996</v>
      </c>
      <c r="L7" s="27">
        <v>12.99815935999999</v>
      </c>
      <c r="M7" s="27">
        <v>13.39815935999999</v>
      </c>
      <c r="N7" s="27">
        <v>14.753679359999987</v>
      </c>
      <c r="O7" s="27">
        <v>13.95751935999999</v>
      </c>
      <c r="P7" s="27">
        <v>12.041359359999994</v>
      </c>
      <c r="Q7" s="27">
        <v>15.172505599999994</v>
      </c>
      <c r="R7" s="27">
        <v>10.303503359999999</v>
      </c>
      <c r="S7" s="27">
        <v>14.509465599999992</v>
      </c>
      <c r="T7" s="27">
        <v>14.732825599999993</v>
      </c>
      <c r="U7" s="27">
        <v>15.22777599999999</v>
      </c>
      <c r="V7" s="27">
        <v>18.568959999999997</v>
      </c>
      <c r="W7" s="27">
        <v>15.946495999999991</v>
      </c>
      <c r="X7" s="27">
        <v>15.55097599999999</v>
      </c>
      <c r="Y7" s="27">
        <v>17.787519999999997</v>
      </c>
      <c r="Z7" s="27">
        <v>17.552896</v>
      </c>
      <c r="AA7" s="27">
        <v>16.096639999999994</v>
      </c>
      <c r="AB7" s="27">
        <v>16.656639999999999</v>
      </c>
      <c r="AC7" s="27">
        <v>13.559295999999993</v>
      </c>
      <c r="AD7" s="27">
        <v>11.593983999999994</v>
      </c>
      <c r="AE7" s="27">
        <v>11.193983999999993</v>
      </c>
      <c r="AF7" s="27">
        <v>16.638079999999999</v>
      </c>
      <c r="AG7" s="27">
        <v>15.527039999999996</v>
      </c>
      <c r="AH7" s="27">
        <v>13.129215999999994</v>
      </c>
      <c r="AI7" s="27">
        <v>14.776319999999995</v>
      </c>
      <c r="AJ7" s="27">
        <v>13.529215999999995</v>
      </c>
      <c r="AK7" s="27">
        <v>17.470079999999999</v>
      </c>
      <c r="AL7" s="27">
        <v>17.32864</v>
      </c>
      <c r="AM7" s="27">
        <v>15.490175999999996</v>
      </c>
      <c r="AN7" s="27">
        <v>11.930495999999996</v>
      </c>
      <c r="AO7" s="27">
        <v>18.330879999999997</v>
      </c>
      <c r="AP7" s="27">
        <v>16.726399999999998</v>
      </c>
      <c r="AQ7" s="27">
        <v>14.484735999999998</v>
      </c>
      <c r="AR7" s="27">
        <v>11.154841599999999</v>
      </c>
      <c r="AS7" s="27">
        <v>8.5329049599999998</v>
      </c>
      <c r="AT7" s="27">
        <v>8.5329049599999998</v>
      </c>
      <c r="AU7" s="27">
        <v>6.3197429760000006</v>
      </c>
    </row>
    <row r="8" spans="6:47" ht="14.45" x14ac:dyDescent="0.3">
      <c r="F8" s="27">
        <v>13.510143999999993</v>
      </c>
      <c r="G8" s="27">
        <v>14.194457599999991</v>
      </c>
      <c r="H8" s="27">
        <v>14.63591935999999</v>
      </c>
      <c r="I8" s="27">
        <v>13.303577599999992</v>
      </c>
      <c r="J8" s="27">
        <v>15.140879359999989</v>
      </c>
      <c r="K8" s="27">
        <v>13.428719615999992</v>
      </c>
      <c r="L8" s="27">
        <v>13.39815935999999</v>
      </c>
      <c r="M8" s="27">
        <v>12.054895615999992</v>
      </c>
      <c r="N8" s="27">
        <v>13.84151961599999</v>
      </c>
      <c r="O8" s="27">
        <v>13.519759359999989</v>
      </c>
      <c r="P8" s="27">
        <v>11.778703359999996</v>
      </c>
      <c r="Q8" s="27">
        <v>15.003161599999995</v>
      </c>
      <c r="R8" s="27">
        <v>10.201896960000001</v>
      </c>
      <c r="S8" s="27">
        <v>14.509465599999992</v>
      </c>
      <c r="T8" s="27">
        <v>14.732825599999993</v>
      </c>
      <c r="U8" s="27">
        <v>15.22777599999999</v>
      </c>
      <c r="V8" s="27">
        <v>18.568959999999997</v>
      </c>
      <c r="W8" s="27">
        <v>15.946495999999991</v>
      </c>
      <c r="X8" s="27">
        <v>15.55097599999999</v>
      </c>
      <c r="Y8" s="27">
        <v>17.735679999999999</v>
      </c>
      <c r="Z8" s="27">
        <v>17.501055999999998</v>
      </c>
      <c r="AA8" s="27">
        <v>16.096639999999994</v>
      </c>
      <c r="AB8" s="27">
        <v>16.656639999999999</v>
      </c>
      <c r="AC8" s="27">
        <v>13.528191999999994</v>
      </c>
      <c r="AD8" s="27">
        <v>11.593983999999994</v>
      </c>
      <c r="AE8" s="27">
        <v>11.193983999999993</v>
      </c>
      <c r="AF8" s="27">
        <v>16.638079999999999</v>
      </c>
      <c r="AG8" s="27">
        <v>15.423359999999997</v>
      </c>
      <c r="AH8" s="27">
        <v>12.873471999999992</v>
      </c>
      <c r="AI8" s="27">
        <v>14.267135999999994</v>
      </c>
      <c r="AJ8" s="27">
        <v>13.273471999999993</v>
      </c>
      <c r="AK8" s="27">
        <v>17.470079999999999</v>
      </c>
      <c r="AL8" s="27">
        <v>17.224959999999999</v>
      </c>
      <c r="AM8" s="27">
        <v>15.234431999999996</v>
      </c>
      <c r="AN8" s="27">
        <v>11.624985599999997</v>
      </c>
      <c r="AO8" s="27">
        <v>18.330879999999997</v>
      </c>
      <c r="AP8" s="27">
        <v>16.695295999999999</v>
      </c>
      <c r="AQ8" s="27">
        <v>14.422527999999998</v>
      </c>
      <c r="AR8" s="27">
        <v>11.117516799999999</v>
      </c>
      <c r="AS8" s="27">
        <v>8.5105100799999995</v>
      </c>
      <c r="AT8" s="27">
        <v>8.5105100799999995</v>
      </c>
      <c r="AU8" s="27">
        <v>6.3063060479999997</v>
      </c>
    </row>
    <row r="9" spans="6:47" ht="14.45" x14ac:dyDescent="0.3">
      <c r="F9" s="27">
        <v>13.961727999999995</v>
      </c>
      <c r="G9" s="27">
        <v>13.954457599999992</v>
      </c>
      <c r="H9" s="27">
        <v>14.39591935999999</v>
      </c>
      <c r="I9" s="27">
        <v>14.273945599999989</v>
      </c>
      <c r="J9" s="27">
        <v>14.740879359999989</v>
      </c>
      <c r="K9" s="27">
        <v>12.628719615999993</v>
      </c>
      <c r="L9" s="27">
        <v>14.753679359999987</v>
      </c>
      <c r="M9" s="27">
        <v>13.84151961599999</v>
      </c>
      <c r="N9" s="27">
        <v>12.244719615999992</v>
      </c>
      <c r="O9" s="27">
        <v>14.997519359999991</v>
      </c>
      <c r="P9" s="27">
        <v>12.665359359999993</v>
      </c>
      <c r="Q9" s="27">
        <v>15.796505599999993</v>
      </c>
      <c r="R9" s="27">
        <v>10.677903359999998</v>
      </c>
      <c r="S9" s="27">
        <v>14.365465599999993</v>
      </c>
      <c r="T9" s="27">
        <v>14.646425599999993</v>
      </c>
      <c r="U9" s="27">
        <v>15.141375999999989</v>
      </c>
      <c r="V9" s="27">
        <v>18.568959999999997</v>
      </c>
      <c r="W9" s="27">
        <v>16.119295999999991</v>
      </c>
      <c r="X9" s="27">
        <v>15.55097599999999</v>
      </c>
      <c r="Y9" s="27">
        <v>17.960319999999996</v>
      </c>
      <c r="Z9" s="27">
        <v>17.927296000000002</v>
      </c>
      <c r="AA9" s="27">
        <v>16.321279999999994</v>
      </c>
      <c r="AB9" s="27">
        <v>16.881279999999997</v>
      </c>
      <c r="AC9" s="27">
        <v>13.783935999999994</v>
      </c>
      <c r="AD9" s="27">
        <v>11.728767999999993</v>
      </c>
      <c r="AE9" s="27">
        <v>11.328767999999993</v>
      </c>
      <c r="AF9" s="27">
        <v>16.638079999999999</v>
      </c>
      <c r="AG9" s="27">
        <v>15.423359999999997</v>
      </c>
      <c r="AH9" s="27">
        <v>12.956415999999994</v>
      </c>
      <c r="AI9" s="27">
        <v>14.488319999999995</v>
      </c>
      <c r="AJ9" s="27">
        <v>13.356415999999994</v>
      </c>
      <c r="AK9" s="27">
        <v>17.470079999999999</v>
      </c>
      <c r="AL9" s="27">
        <v>17.224959999999999</v>
      </c>
      <c r="AM9" s="27">
        <v>15.317375999999996</v>
      </c>
      <c r="AN9" s="27">
        <v>11.757695999999996</v>
      </c>
      <c r="AO9" s="27">
        <v>18.434559999999994</v>
      </c>
      <c r="AP9" s="27">
        <v>16.726399999999998</v>
      </c>
      <c r="AQ9" s="27">
        <v>14.422527999999998</v>
      </c>
      <c r="AR9" s="27">
        <v>11.117516799999999</v>
      </c>
      <c r="AS9" s="27">
        <v>8.5105100799999995</v>
      </c>
      <c r="AT9" s="27">
        <v>8.5105100799999995</v>
      </c>
      <c r="AU9" s="27">
        <v>6.3063060479999997</v>
      </c>
    </row>
    <row r="10" spans="6:47" ht="14.45" x14ac:dyDescent="0.3">
      <c r="F10" s="27">
        <v>13.817727999999995</v>
      </c>
      <c r="G10" s="27">
        <v>13.810457599999992</v>
      </c>
      <c r="H10" s="27">
        <v>14.251919359999992</v>
      </c>
      <c r="I10" s="27">
        <v>14.03394559999999</v>
      </c>
      <c r="J10" s="27">
        <v>14.500879359999988</v>
      </c>
      <c r="K10" s="27">
        <v>12.388719615999994</v>
      </c>
      <c r="L10" s="27">
        <v>14.353679359999989</v>
      </c>
      <c r="M10" s="27">
        <v>13.44151961599999</v>
      </c>
      <c r="N10" s="27">
        <v>14.997519359999991</v>
      </c>
      <c r="O10" s="27">
        <v>12.665359359999991</v>
      </c>
      <c r="P10" s="27">
        <v>13.065359359999992</v>
      </c>
      <c r="Q10" s="27">
        <v>16.196505599999988</v>
      </c>
      <c r="R10" s="27">
        <v>10.917903359999999</v>
      </c>
      <c r="S10" s="27">
        <v>14.279065599999992</v>
      </c>
      <c r="T10" s="27">
        <v>14.732825599999993</v>
      </c>
      <c r="U10" s="27">
        <v>15.141375999999989</v>
      </c>
      <c r="V10" s="27">
        <v>18.655359999999998</v>
      </c>
      <c r="W10" s="27">
        <v>16.263295999999993</v>
      </c>
      <c r="X10" s="27">
        <v>15.637375999999991</v>
      </c>
      <c r="Y10" s="27">
        <v>18.104319999999998</v>
      </c>
      <c r="Z10" s="27">
        <v>18.167296000000004</v>
      </c>
      <c r="AA10" s="27">
        <v>16.465279999999993</v>
      </c>
      <c r="AB10" s="27">
        <v>17.025279999999999</v>
      </c>
      <c r="AC10" s="27">
        <v>13.927935999999992</v>
      </c>
      <c r="AD10" s="27">
        <v>11.815167999999995</v>
      </c>
      <c r="AE10" s="27">
        <v>11.415167999999992</v>
      </c>
      <c r="AF10" s="27">
        <v>16.689920000000001</v>
      </c>
      <c r="AG10" s="27">
        <v>15.423359999999997</v>
      </c>
      <c r="AH10" s="27">
        <v>12.904575999999993</v>
      </c>
      <c r="AI10" s="27">
        <v>14.401919999999993</v>
      </c>
      <c r="AJ10" s="27">
        <v>13.304575999999994</v>
      </c>
      <c r="AK10" s="27">
        <v>17.521919999999998</v>
      </c>
      <c r="AL10" s="27">
        <v>17.224959999999999</v>
      </c>
      <c r="AM10" s="27">
        <v>15.265535999999996</v>
      </c>
      <c r="AN10" s="27">
        <v>11.705855999999995</v>
      </c>
      <c r="AO10" s="27">
        <v>18.520959999999995</v>
      </c>
      <c r="AP10" s="27">
        <v>16.778239999999997</v>
      </c>
      <c r="AQ10" s="27">
        <v>14.453631999999999</v>
      </c>
      <c r="AR10" s="27">
        <v>11.136179199999999</v>
      </c>
      <c r="AS10" s="27">
        <v>8.5217075199999996</v>
      </c>
      <c r="AT10" s="27">
        <v>8.5217075199999996</v>
      </c>
      <c r="AU10" s="27">
        <v>6.3130245120000001</v>
      </c>
    </row>
    <row r="11" spans="6:47" ht="14.45" x14ac:dyDescent="0.3">
      <c r="F11" s="27">
        <v>13.561983999999995</v>
      </c>
      <c r="G11" s="27">
        <v>13.637657599999992</v>
      </c>
      <c r="H11" s="27">
        <v>14.079119359999989</v>
      </c>
      <c r="I11" s="27">
        <v>13.389977599999991</v>
      </c>
      <c r="J11" s="27">
        <v>13.908751359999989</v>
      </c>
      <c r="K11" s="27">
        <v>11.796591615999995</v>
      </c>
      <c r="L11" s="27">
        <v>13.14215935999999</v>
      </c>
      <c r="M11" s="27">
        <v>12.198895615999993</v>
      </c>
      <c r="N11" s="27">
        <v>12.484719615999992</v>
      </c>
      <c r="O11" s="27">
        <v>13.065359359999992</v>
      </c>
      <c r="P11" s="27">
        <v>11.317903359999999</v>
      </c>
      <c r="Q11" s="27">
        <v>14.542361599999994</v>
      </c>
      <c r="R11" s="27">
        <v>11.317903359999999</v>
      </c>
      <c r="S11" s="27">
        <v>14.279065599999992</v>
      </c>
      <c r="T11" s="27">
        <v>14.646425599999993</v>
      </c>
      <c r="U11" s="27">
        <v>15.141375999999989</v>
      </c>
      <c r="V11" s="27">
        <v>18.568959999999997</v>
      </c>
      <c r="W11" s="27">
        <v>15.946495999999991</v>
      </c>
      <c r="X11" s="27">
        <v>15.55097599999999</v>
      </c>
      <c r="Y11" s="27">
        <v>17.735679999999999</v>
      </c>
      <c r="Z11" s="27">
        <v>17.328256</v>
      </c>
      <c r="AA11" s="27">
        <v>15.992959999999991</v>
      </c>
      <c r="AB11" s="27">
        <v>16.552959999999995</v>
      </c>
      <c r="AC11" s="27">
        <v>13.424511999999993</v>
      </c>
      <c r="AD11" s="27">
        <v>11.531775999999994</v>
      </c>
      <c r="AE11" s="27">
        <v>11.131775999999993</v>
      </c>
      <c r="AF11" s="27">
        <v>16.638079999999999</v>
      </c>
      <c r="AG11" s="27">
        <v>15.423359999999997</v>
      </c>
      <c r="AH11" s="27">
        <v>12.873471999999992</v>
      </c>
      <c r="AI11" s="27">
        <v>14.298239999999993</v>
      </c>
      <c r="AJ11" s="27">
        <v>13.273471999999993</v>
      </c>
      <c r="AK11" s="27">
        <v>17.470079999999999</v>
      </c>
      <c r="AL11" s="27">
        <v>17.224959999999999</v>
      </c>
      <c r="AM11" s="27">
        <v>15.234431999999996</v>
      </c>
      <c r="AN11" s="27">
        <v>11.643647999999997</v>
      </c>
      <c r="AO11" s="27">
        <v>18.330879999999997</v>
      </c>
      <c r="AP11" s="27">
        <v>16.695295999999999</v>
      </c>
      <c r="AQ11" s="27">
        <v>14.422527999999998</v>
      </c>
      <c r="AR11" s="27">
        <v>11.117516799999999</v>
      </c>
      <c r="AS11" s="27">
        <v>8.5105100799999995</v>
      </c>
      <c r="AT11" s="27">
        <v>8.5105100799999995</v>
      </c>
      <c r="AU11" s="27">
        <v>6.3063060479999997</v>
      </c>
    </row>
    <row r="12" spans="6:47" ht="14.45" x14ac:dyDescent="0.3">
      <c r="F12" s="27">
        <v>13.644927999999995</v>
      </c>
      <c r="G12" s="27">
        <v>13.637657599999992</v>
      </c>
      <c r="H12" s="27">
        <v>14.079119359999989</v>
      </c>
      <c r="I12" s="27">
        <v>13.74594559999999</v>
      </c>
      <c r="J12" s="27">
        <v>14.212879359999988</v>
      </c>
      <c r="K12" s="27">
        <v>12.100719615999994</v>
      </c>
      <c r="L12" s="27">
        <v>13.873679359999988</v>
      </c>
      <c r="M12" s="27">
        <v>12.96151961599999</v>
      </c>
      <c r="N12" s="27">
        <v>14.19751935999999</v>
      </c>
      <c r="O12" s="27">
        <v>16.196505599999988</v>
      </c>
      <c r="P12" s="27">
        <v>14.542361599999994</v>
      </c>
      <c r="Q12" s="27">
        <v>14.542361599999994</v>
      </c>
      <c r="R12" s="27">
        <v>14.542361599999994</v>
      </c>
      <c r="S12" s="27">
        <v>14.538265599999992</v>
      </c>
      <c r="T12" s="27">
        <v>15.164825599999993</v>
      </c>
      <c r="U12" s="27">
        <v>15.40057599999999</v>
      </c>
      <c r="V12" s="27">
        <v>19.087359999999997</v>
      </c>
      <c r="W12" s="27">
        <v>16.983295999999996</v>
      </c>
      <c r="X12" s="27">
        <v>16.069375999999988</v>
      </c>
      <c r="Y12" s="27">
        <v>18.824319999999997</v>
      </c>
      <c r="Z12" s="27">
        <v>19.367296000000007</v>
      </c>
      <c r="AA12" s="27">
        <v>17.185279999999999</v>
      </c>
      <c r="AB12" s="27">
        <v>17.745279999999998</v>
      </c>
      <c r="AC12" s="27">
        <v>14.647935999999994</v>
      </c>
      <c r="AD12" s="27">
        <v>12.247167999999993</v>
      </c>
      <c r="AE12" s="27">
        <v>11.847167999999993</v>
      </c>
      <c r="AF12" s="27">
        <v>16.949120000000001</v>
      </c>
      <c r="AG12" s="27">
        <v>15.578879999999996</v>
      </c>
      <c r="AH12" s="27">
        <v>12.935679999999994</v>
      </c>
      <c r="AI12" s="27">
        <v>14.298239999999993</v>
      </c>
      <c r="AJ12" s="27">
        <v>13.335679999999995</v>
      </c>
      <c r="AK12" s="27">
        <v>17.781119999999998</v>
      </c>
      <c r="AL12" s="27">
        <v>17.380480000000002</v>
      </c>
      <c r="AM12" s="27">
        <v>15.296639999999995</v>
      </c>
      <c r="AN12" s="27">
        <v>11.643647999999997</v>
      </c>
      <c r="AO12" s="27">
        <v>18.952959999999994</v>
      </c>
      <c r="AP12" s="27">
        <v>17.037439999999997</v>
      </c>
      <c r="AQ12" s="27">
        <v>14.609151999999998</v>
      </c>
      <c r="AR12" s="27">
        <v>11.2294912</v>
      </c>
      <c r="AS12" s="27">
        <v>8.5776947200000002</v>
      </c>
      <c r="AT12" s="27">
        <v>8.5776947200000002</v>
      </c>
      <c r="AU12" s="27">
        <v>6.3466168320000005</v>
      </c>
    </row>
    <row r="13" spans="6:47" ht="14.45" x14ac:dyDescent="0.3">
      <c r="F13" s="27">
        <v>13.510143999999993</v>
      </c>
      <c r="G13" s="27">
        <v>13.585817599999992</v>
      </c>
      <c r="H13" s="27">
        <v>14.027279359999991</v>
      </c>
      <c r="I13" s="27">
        <v>13.303577599999992</v>
      </c>
      <c r="J13" s="27">
        <v>13.82235135999999</v>
      </c>
      <c r="K13" s="27">
        <v>11.710191615999996</v>
      </c>
      <c r="L13" s="27">
        <v>12.99815935999999</v>
      </c>
      <c r="M13" s="27">
        <v>12.054895615999992</v>
      </c>
      <c r="N13" s="27">
        <v>12.244719615999992</v>
      </c>
      <c r="O13" s="27">
        <v>12.665359359999991</v>
      </c>
      <c r="P13" s="27">
        <v>11.317903359999999</v>
      </c>
      <c r="Q13" s="27">
        <v>14.542361599999994</v>
      </c>
      <c r="R13" s="27">
        <v>9.9254169600000015</v>
      </c>
      <c r="S13" s="27">
        <v>14.279065599999992</v>
      </c>
      <c r="T13" s="27">
        <v>14.646425599999993</v>
      </c>
      <c r="U13" s="27">
        <v>15.141375999999989</v>
      </c>
      <c r="V13" s="27">
        <v>18.568959999999997</v>
      </c>
      <c r="W13" s="27">
        <v>15.946495999999991</v>
      </c>
      <c r="X13" s="27">
        <v>15.55097599999999</v>
      </c>
      <c r="Y13" s="27">
        <v>17.735679999999999</v>
      </c>
      <c r="Z13" s="27">
        <v>17.328256</v>
      </c>
      <c r="AA13" s="27">
        <v>15.992959999999991</v>
      </c>
      <c r="AB13" s="27">
        <v>16.552959999999995</v>
      </c>
      <c r="AC13" s="27">
        <v>13.424511999999993</v>
      </c>
      <c r="AD13" s="27">
        <v>11.531775999999994</v>
      </c>
      <c r="AE13" s="27">
        <v>11.131775999999993</v>
      </c>
      <c r="AF13" s="27">
        <v>16.638079999999999</v>
      </c>
      <c r="AG13" s="27">
        <v>15.423359999999997</v>
      </c>
      <c r="AH13" s="27">
        <v>12.873471999999992</v>
      </c>
      <c r="AI13" s="27">
        <v>14.267135999999994</v>
      </c>
      <c r="AJ13" s="27">
        <v>13.273471999999993</v>
      </c>
      <c r="AK13" s="27">
        <v>17.470079999999999</v>
      </c>
      <c r="AL13" s="27">
        <v>17.224959999999999</v>
      </c>
      <c r="AM13" s="27">
        <v>15.234431999999996</v>
      </c>
      <c r="AN13" s="27">
        <v>11.624985599999997</v>
      </c>
      <c r="AO13" s="27">
        <v>18.330879999999997</v>
      </c>
      <c r="AP13" s="27">
        <v>16.695295999999999</v>
      </c>
      <c r="AQ13" s="27">
        <v>14.422527999999998</v>
      </c>
      <c r="AR13" s="27">
        <v>11.117516799999999</v>
      </c>
      <c r="AS13" s="27">
        <v>8.5105100799999995</v>
      </c>
      <c r="AT13" s="27">
        <v>8.5105100799999995</v>
      </c>
      <c r="AU13" s="27">
        <v>6.3063060479999997</v>
      </c>
    </row>
    <row r="14" spans="6:47" x14ac:dyDescent="0.25">
      <c r="F14" s="27">
        <v>14.192127999999995</v>
      </c>
      <c r="G14" s="27">
        <v>15.147545599999988</v>
      </c>
      <c r="H14" s="27">
        <v>17.159065599999991</v>
      </c>
      <c r="I14" s="27">
        <v>13.954457599999991</v>
      </c>
      <c r="J14" s="27">
        <v>15.435919359999987</v>
      </c>
      <c r="K14" s="27">
        <v>13.506319359999994</v>
      </c>
      <c r="L14" s="27">
        <v>13.700879359999989</v>
      </c>
      <c r="M14" s="27">
        <v>12.788719615999991</v>
      </c>
      <c r="N14" s="27">
        <v>12.417519615999991</v>
      </c>
      <c r="O14" s="27">
        <v>12.665359359999991</v>
      </c>
      <c r="P14" s="27">
        <v>11.317903359999999</v>
      </c>
      <c r="Q14" s="27">
        <v>14.628761599999995</v>
      </c>
      <c r="R14" s="27">
        <v>9.9772569600000001</v>
      </c>
      <c r="S14" s="27">
        <v>14.279065599999992</v>
      </c>
      <c r="T14" s="27">
        <v>16.567065599999992</v>
      </c>
      <c r="U14" s="27">
        <v>17.010175999999994</v>
      </c>
      <c r="V14" s="27">
        <v>19.586559999999999</v>
      </c>
      <c r="W14" s="27">
        <v>17.015935999999996</v>
      </c>
      <c r="X14" s="27">
        <v>16.568575999999993</v>
      </c>
      <c r="Y14" s="27">
        <v>18.242559999999994</v>
      </c>
      <c r="Z14" s="27">
        <v>17.783296</v>
      </c>
      <c r="AA14" s="27">
        <v>16.234879999999993</v>
      </c>
      <c r="AB14" s="27">
        <v>16.794879999999999</v>
      </c>
      <c r="AC14" s="27">
        <v>13.697535999999992</v>
      </c>
      <c r="AD14" s="27">
        <v>11.676927999999995</v>
      </c>
      <c r="AE14" s="27">
        <v>11.276927999999993</v>
      </c>
      <c r="AF14" s="27">
        <v>17.144959999999998</v>
      </c>
      <c r="AG14" s="27">
        <v>15.561599999999997</v>
      </c>
      <c r="AH14" s="27">
        <v>12.873471999999992</v>
      </c>
      <c r="AI14" s="27">
        <v>14.491775999999994</v>
      </c>
      <c r="AJ14" s="27">
        <v>13.273471999999993</v>
      </c>
      <c r="AK14" s="27">
        <v>17.976959999999995</v>
      </c>
      <c r="AL14" s="27">
        <v>17.363200000000003</v>
      </c>
      <c r="AM14" s="27">
        <v>15.234431999999996</v>
      </c>
      <c r="AN14" s="27">
        <v>11.676825599999995</v>
      </c>
      <c r="AO14" s="27">
        <v>18.889599999999998</v>
      </c>
      <c r="AP14" s="27">
        <v>16.916479999999996</v>
      </c>
      <c r="AQ14" s="27">
        <v>14.505471999999997</v>
      </c>
      <c r="AR14" s="27">
        <v>11.1672832</v>
      </c>
      <c r="AS14" s="27">
        <v>8.5403699199999998</v>
      </c>
      <c r="AT14" s="27">
        <v>8.5403699199999998</v>
      </c>
      <c r="AU14" s="27">
        <v>6.3242219520000003</v>
      </c>
    </row>
    <row r="15" spans="6:47" x14ac:dyDescent="0.25">
      <c r="F15" s="27">
        <v>13.817727999999995</v>
      </c>
      <c r="G15" s="27">
        <v>14.26434559999999</v>
      </c>
      <c r="H15" s="27">
        <v>15.29639935999999</v>
      </c>
      <c r="I15" s="27">
        <v>13.528217599999991</v>
      </c>
      <c r="J15" s="27">
        <v>14.500879359999988</v>
      </c>
      <c r="K15" s="27">
        <v>12.388719615999994</v>
      </c>
      <c r="L15" s="27">
        <v>13.170959359999989</v>
      </c>
      <c r="M15" s="27">
        <v>12.227695615999991</v>
      </c>
      <c r="N15" s="27">
        <v>12.244719615999992</v>
      </c>
      <c r="O15" s="27">
        <v>12.838159359999992</v>
      </c>
      <c r="P15" s="27">
        <v>11.490703359999998</v>
      </c>
      <c r="Q15" s="27">
        <v>14.916761599999996</v>
      </c>
      <c r="R15" s="27">
        <v>10.150056960000001</v>
      </c>
      <c r="S15" s="27">
        <v>16.567065599999992</v>
      </c>
      <c r="T15" s="27">
        <v>14.646425599999993</v>
      </c>
      <c r="U15" s="27">
        <v>16.728575999999993</v>
      </c>
      <c r="V15" s="27">
        <v>18.568959999999997</v>
      </c>
      <c r="W15" s="27">
        <v>17.815936000000001</v>
      </c>
      <c r="X15" s="27">
        <v>17.368575999999994</v>
      </c>
      <c r="Y15" s="27">
        <v>18.482559999999996</v>
      </c>
      <c r="Z15" s="27">
        <v>18.263296</v>
      </c>
      <c r="AA15" s="27">
        <v>16.378879999999995</v>
      </c>
      <c r="AB15" s="27">
        <v>16.938879999999997</v>
      </c>
      <c r="AC15" s="27">
        <v>13.985535999999993</v>
      </c>
      <c r="AD15" s="27">
        <v>11.763327999999994</v>
      </c>
      <c r="AE15" s="27">
        <v>11.363327999999994</v>
      </c>
      <c r="AF15" s="27">
        <v>16.638079999999999</v>
      </c>
      <c r="AG15" s="27">
        <v>15.423359999999997</v>
      </c>
      <c r="AH15" s="27">
        <v>12.873471999999992</v>
      </c>
      <c r="AI15" s="27">
        <v>14.318975999999994</v>
      </c>
      <c r="AJ15" s="27">
        <v>13.273471999999993</v>
      </c>
      <c r="AK15" s="27">
        <v>17.470079999999999</v>
      </c>
      <c r="AL15" s="27">
        <v>17.224959999999999</v>
      </c>
      <c r="AM15" s="27">
        <v>15.234431999999996</v>
      </c>
      <c r="AN15" s="27">
        <v>11.624985599999997</v>
      </c>
      <c r="AO15" s="27">
        <v>18.330879999999997</v>
      </c>
      <c r="AP15" s="27">
        <v>16.695295999999999</v>
      </c>
      <c r="AQ15" s="27">
        <v>14.422527999999998</v>
      </c>
      <c r="AR15" s="27">
        <v>11.117516799999999</v>
      </c>
      <c r="AS15" s="27">
        <v>8.5105100799999995</v>
      </c>
      <c r="AT15" s="27">
        <v>8.5105100799999995</v>
      </c>
      <c r="AU15" s="27">
        <v>6.3063060479999997</v>
      </c>
    </row>
    <row r="16" spans="6:47" x14ac:dyDescent="0.25">
      <c r="F16" s="27">
        <v>13.648383999999997</v>
      </c>
      <c r="G16" s="27">
        <v>14.241305599999988</v>
      </c>
      <c r="H16" s="27">
        <v>15.510425599999989</v>
      </c>
      <c r="I16" s="27">
        <v>13.493657599999992</v>
      </c>
      <c r="J16" s="27">
        <v>14.529679359999987</v>
      </c>
      <c r="K16" s="27">
        <v>12.600079359999993</v>
      </c>
      <c r="L16" s="27">
        <v>13.24007935999999</v>
      </c>
      <c r="M16" s="27">
        <v>12.327919615999992</v>
      </c>
      <c r="N16" s="27">
        <v>12.244719615999992</v>
      </c>
      <c r="O16" s="27">
        <v>12.665359359999991</v>
      </c>
      <c r="P16" s="27">
        <v>11.317903359999999</v>
      </c>
      <c r="Q16" s="27">
        <v>14.542361599999994</v>
      </c>
      <c r="R16" s="27">
        <v>9.9254169600000015</v>
      </c>
      <c r="S16" s="27">
        <v>17.010175999999994</v>
      </c>
      <c r="T16" s="27">
        <v>16.728575999999993</v>
      </c>
      <c r="U16" s="27">
        <v>15.141375999999989</v>
      </c>
      <c r="V16" s="27">
        <v>20.386559999999999</v>
      </c>
      <c r="W16" s="27">
        <v>15.946495999999991</v>
      </c>
      <c r="X16" s="27">
        <v>15.55097599999999</v>
      </c>
      <c r="Y16" s="27">
        <v>18.482559999999996</v>
      </c>
      <c r="Z16" s="27">
        <v>17.328256</v>
      </c>
      <c r="AA16" s="27">
        <v>16.378879999999995</v>
      </c>
      <c r="AB16" s="27">
        <v>16.938879999999997</v>
      </c>
      <c r="AC16" s="27">
        <v>13.424511999999993</v>
      </c>
      <c r="AD16" s="27">
        <v>11.763327999999994</v>
      </c>
      <c r="AE16" s="27">
        <v>11.363327999999994</v>
      </c>
      <c r="AF16" s="27">
        <v>17.624960000000002</v>
      </c>
      <c r="AG16" s="27">
        <v>15.849599999999997</v>
      </c>
      <c r="AH16" s="27">
        <v>13.046271999999995</v>
      </c>
      <c r="AI16" s="27">
        <v>14.267135999999994</v>
      </c>
      <c r="AJ16" s="27">
        <v>13.446271999999995</v>
      </c>
      <c r="AK16" s="27">
        <v>18.456959999999999</v>
      </c>
      <c r="AL16" s="27">
        <v>17.651200000000003</v>
      </c>
      <c r="AM16" s="27">
        <v>15.407231999999995</v>
      </c>
      <c r="AN16" s="27">
        <v>11.676825599999995</v>
      </c>
      <c r="AO16" s="27">
        <v>19.369599999999995</v>
      </c>
      <c r="AP16" s="27">
        <v>17.204479999999997</v>
      </c>
      <c r="AQ16" s="27">
        <v>14.678272</v>
      </c>
      <c r="AR16" s="27">
        <v>11.270963199999999</v>
      </c>
      <c r="AS16" s="27">
        <v>8.6025779199999999</v>
      </c>
      <c r="AT16" s="27">
        <v>8.6025779199999999</v>
      </c>
      <c r="AU16" s="27">
        <v>6.3615467520000006</v>
      </c>
    </row>
    <row r="17" spans="6:47" x14ac:dyDescent="0.25">
      <c r="F17" s="27">
        <v>13.561983999999995</v>
      </c>
      <c r="G17" s="27">
        <v>14.097305599999988</v>
      </c>
      <c r="H17" s="27">
        <v>15.270425599999989</v>
      </c>
      <c r="I17" s="27">
        <v>13.407257599999992</v>
      </c>
      <c r="J17" s="27">
        <v>14.385679359999987</v>
      </c>
      <c r="K17" s="27">
        <v>12.456079359999993</v>
      </c>
      <c r="L17" s="27">
        <v>13.153679359999991</v>
      </c>
      <c r="M17" s="27">
        <v>12.241519615999993</v>
      </c>
      <c r="N17" s="27">
        <v>12.348399615999993</v>
      </c>
      <c r="O17" s="27">
        <v>13.02823935999999</v>
      </c>
      <c r="P17" s="27">
        <v>11.774095359999995</v>
      </c>
      <c r="Q17" s="27">
        <v>15.333785599999993</v>
      </c>
      <c r="R17" s="27">
        <v>10.400271359999998</v>
      </c>
      <c r="S17" s="27">
        <v>16.610175999999992</v>
      </c>
      <c r="T17" s="27">
        <v>16.328575999999995</v>
      </c>
      <c r="U17" s="27">
        <v>20.386559999999999</v>
      </c>
      <c r="V17" s="27">
        <v>18.568959999999997</v>
      </c>
      <c r="W17" s="27">
        <v>17.077375999999994</v>
      </c>
      <c r="X17" s="27">
        <v>19.368959999999998</v>
      </c>
      <c r="Y17" s="27">
        <v>20.76736</v>
      </c>
      <c r="Z17" s="27">
        <v>18.699135999999999</v>
      </c>
      <c r="AA17" s="27">
        <v>17.175679999999996</v>
      </c>
      <c r="AB17" s="27">
        <v>17.975679999999997</v>
      </c>
      <c r="AC17" s="27">
        <v>13.902591999999993</v>
      </c>
      <c r="AD17" s="27">
        <v>12.385407999999993</v>
      </c>
      <c r="AE17" s="27">
        <v>11.985407999999994</v>
      </c>
      <c r="AF17" s="27">
        <v>21.071999999999999</v>
      </c>
      <c r="AG17" s="27">
        <v>17.886720000000004</v>
      </c>
      <c r="AH17" s="27">
        <v>14.237439999999996</v>
      </c>
      <c r="AI17" s="27">
        <v>14.630015999999994</v>
      </c>
      <c r="AJ17" s="27">
        <v>14.637439999999996</v>
      </c>
      <c r="AK17" s="27">
        <v>20.591999999999999</v>
      </c>
      <c r="AL17" s="27">
        <v>18.901119999999999</v>
      </c>
      <c r="AM17" s="27">
        <v>16.126079999999998</v>
      </c>
      <c r="AN17" s="27">
        <v>12.089471999999995</v>
      </c>
      <c r="AO17" s="27">
        <v>21.0976</v>
      </c>
      <c r="AP17" s="27">
        <v>17.684480000000001</v>
      </c>
      <c r="AQ17" s="27">
        <v>14.966271999999998</v>
      </c>
      <c r="AR17" s="27">
        <v>11.443763200000001</v>
      </c>
      <c r="AS17" s="27">
        <v>8.7062579200000005</v>
      </c>
      <c r="AT17" s="27">
        <v>8.7062579200000005</v>
      </c>
      <c r="AU17" s="27">
        <v>6.4237547520000007</v>
      </c>
    </row>
    <row r="18" spans="6:47" x14ac:dyDescent="0.25">
      <c r="F18" s="27">
        <v>13.644927999999995</v>
      </c>
      <c r="G18" s="27">
        <v>13.976345599999989</v>
      </c>
      <c r="H18" s="27">
        <v>14.816399359999989</v>
      </c>
      <c r="I18" s="27">
        <v>13.355417599999992</v>
      </c>
      <c r="J18" s="27">
        <v>14.212879359999988</v>
      </c>
      <c r="K18" s="27">
        <v>12.100719615999994</v>
      </c>
      <c r="L18" s="27">
        <v>12.99815935999999</v>
      </c>
      <c r="M18" s="27">
        <v>12.054895615999992</v>
      </c>
      <c r="N18" s="27">
        <v>12.417519615999991</v>
      </c>
      <c r="O18" s="27">
        <v>13.12615935999999</v>
      </c>
      <c r="P18" s="27">
        <v>11.778703359999998</v>
      </c>
      <c r="Q18" s="27">
        <v>15.396761599999994</v>
      </c>
      <c r="R18" s="27">
        <v>10.438056960000001</v>
      </c>
      <c r="S18" s="27">
        <v>15.767065599999993</v>
      </c>
      <c r="T18" s="27">
        <v>17.815936000000001</v>
      </c>
      <c r="U18" s="27">
        <v>15.928575999999991</v>
      </c>
      <c r="V18" s="27">
        <v>18.568959999999997</v>
      </c>
      <c r="W18" s="27">
        <v>15.946495999999991</v>
      </c>
      <c r="X18" s="27">
        <v>17.477375999999996</v>
      </c>
      <c r="Y18" s="27">
        <v>18.882559999999998</v>
      </c>
      <c r="Z18" s="27">
        <v>19.063296000000005</v>
      </c>
      <c r="AA18" s="27">
        <v>16.618879999999997</v>
      </c>
      <c r="AB18" s="27">
        <v>17.418879999999998</v>
      </c>
      <c r="AC18" s="27">
        <v>14.465535999999993</v>
      </c>
      <c r="AD18" s="27">
        <v>12.051327999999993</v>
      </c>
      <c r="AE18" s="27">
        <v>11.651327999999994</v>
      </c>
      <c r="AF18" s="27">
        <v>16.638079999999999</v>
      </c>
      <c r="AG18" s="27">
        <v>15.423359999999997</v>
      </c>
      <c r="AH18" s="27">
        <v>12.873471999999992</v>
      </c>
      <c r="AI18" s="27">
        <v>14.267135999999994</v>
      </c>
      <c r="AJ18" s="27">
        <v>13.273471999999993</v>
      </c>
      <c r="AK18" s="27">
        <v>17.470079999999999</v>
      </c>
      <c r="AL18" s="27">
        <v>17.224959999999999</v>
      </c>
      <c r="AM18" s="27">
        <v>15.234431999999996</v>
      </c>
      <c r="AN18" s="27">
        <v>11.624985599999997</v>
      </c>
      <c r="AO18" s="27">
        <v>18.570879999999999</v>
      </c>
      <c r="AP18" s="27">
        <v>16.839295999999997</v>
      </c>
      <c r="AQ18" s="27">
        <v>14.508927999999997</v>
      </c>
      <c r="AR18" s="27">
        <v>11.169356800000001</v>
      </c>
      <c r="AS18" s="27">
        <v>8.5416140800000004</v>
      </c>
      <c r="AT18" s="27">
        <v>8.5416140800000004</v>
      </c>
      <c r="AU18" s="27">
        <v>6.3249684479999999</v>
      </c>
    </row>
    <row r="19" spans="6:47" x14ac:dyDescent="0.25">
      <c r="F19" s="27">
        <v>13.561983999999995</v>
      </c>
      <c r="G19" s="27">
        <v>13.724057599999991</v>
      </c>
      <c r="H19" s="27">
        <v>14.25767935999999</v>
      </c>
      <c r="I19" s="27">
        <v>13.355417599999992</v>
      </c>
      <c r="J19" s="27">
        <v>13.96059135999999</v>
      </c>
      <c r="K19" s="27">
        <v>11.848431615999996</v>
      </c>
      <c r="L19" s="27">
        <v>12.99815935999999</v>
      </c>
      <c r="M19" s="27">
        <v>12.054895615999992</v>
      </c>
      <c r="N19" s="27">
        <v>12.244719615999992</v>
      </c>
      <c r="O19" s="27">
        <v>12.665359359999991</v>
      </c>
      <c r="P19" s="27">
        <v>11.317903359999999</v>
      </c>
      <c r="Q19" s="27">
        <v>14.542361599999994</v>
      </c>
      <c r="R19" s="27">
        <v>9.9254169600000015</v>
      </c>
      <c r="S19" s="27">
        <v>14.663065599999992</v>
      </c>
      <c r="T19" s="27">
        <v>17.368575999999994</v>
      </c>
      <c r="U19" s="27">
        <v>15.141375999999989</v>
      </c>
      <c r="V19" s="27">
        <v>19.368959999999998</v>
      </c>
      <c r="W19" s="27">
        <v>17.477375999999996</v>
      </c>
      <c r="X19" s="27">
        <v>15.55097599999999</v>
      </c>
      <c r="Y19" s="27">
        <v>18.882559999999998</v>
      </c>
      <c r="Z19" s="27">
        <v>17.328256</v>
      </c>
      <c r="AA19" s="27">
        <v>16.618879999999997</v>
      </c>
      <c r="AB19" s="27">
        <v>16.552959999999995</v>
      </c>
      <c r="AC19" s="27">
        <v>13.424511999999993</v>
      </c>
      <c r="AD19" s="27">
        <v>11.531775999999994</v>
      </c>
      <c r="AE19" s="27">
        <v>11.131775999999993</v>
      </c>
      <c r="AF19" s="27">
        <v>17.118079999999999</v>
      </c>
      <c r="AG19" s="27">
        <v>15.711359999999997</v>
      </c>
      <c r="AH19" s="27">
        <v>13.046271999999995</v>
      </c>
      <c r="AI19" s="27">
        <v>14.318975999999994</v>
      </c>
      <c r="AJ19" s="27">
        <v>13.446271999999995</v>
      </c>
      <c r="AK19" s="27">
        <v>17.950079999999996</v>
      </c>
      <c r="AL19" s="27">
        <v>17.51296</v>
      </c>
      <c r="AM19" s="27">
        <v>15.407231999999995</v>
      </c>
      <c r="AN19" s="27">
        <v>11.728665599999996</v>
      </c>
      <c r="AO19" s="27">
        <v>18.570879999999999</v>
      </c>
      <c r="AP19" s="27">
        <v>16.839295999999997</v>
      </c>
      <c r="AQ19" s="27">
        <v>14.508927999999997</v>
      </c>
      <c r="AR19" s="27">
        <v>11.169356800000001</v>
      </c>
      <c r="AS19" s="27">
        <v>8.5416140800000004</v>
      </c>
      <c r="AT19" s="27">
        <v>8.5416140800000004</v>
      </c>
      <c r="AU19" s="27">
        <v>6.3249684479999999</v>
      </c>
    </row>
    <row r="20" spans="6:47" x14ac:dyDescent="0.25">
      <c r="F20" s="27">
        <v>13.510143999999993</v>
      </c>
      <c r="G20" s="27">
        <v>13.637657599999992</v>
      </c>
      <c r="H20" s="27">
        <v>14.11367935999999</v>
      </c>
      <c r="I20" s="27">
        <v>13.303577599999992</v>
      </c>
      <c r="J20" s="27">
        <v>13.87419135999999</v>
      </c>
      <c r="K20" s="27">
        <v>11.762031615999996</v>
      </c>
      <c r="L20" s="27">
        <v>13.04999935999999</v>
      </c>
      <c r="M20" s="27">
        <v>12.137839615999992</v>
      </c>
      <c r="N20" s="27">
        <v>12.738319359999991</v>
      </c>
      <c r="O20" s="27">
        <v>13.67810559999999</v>
      </c>
      <c r="P20" s="27">
        <v>12.423961599999995</v>
      </c>
      <c r="Q20" s="27">
        <v>16.416895999999994</v>
      </c>
      <c r="R20" s="27">
        <v>11.050137599999998</v>
      </c>
      <c r="S20" s="27">
        <v>14.423065599999992</v>
      </c>
      <c r="T20" s="27">
        <v>15.489535999999992</v>
      </c>
      <c r="U20" s="27">
        <v>16.168575999999991</v>
      </c>
      <c r="V20" s="27">
        <v>20.76736</v>
      </c>
      <c r="W20" s="27">
        <v>18.882559999999998</v>
      </c>
      <c r="X20" s="27">
        <v>18.882559999999998</v>
      </c>
      <c r="Y20" s="27">
        <v>17.735679999999999</v>
      </c>
      <c r="Z20" s="27">
        <v>20.504320000000007</v>
      </c>
      <c r="AA20" s="27">
        <v>18.615679999999998</v>
      </c>
      <c r="AB20" s="27">
        <v>16.792959999999997</v>
      </c>
      <c r="AC20" s="27">
        <v>14.382591999999992</v>
      </c>
      <c r="AD20" s="27">
        <v>11.675775999999994</v>
      </c>
      <c r="AE20" s="27">
        <v>11.275775999999993</v>
      </c>
      <c r="AF20" s="27">
        <v>17.95712</v>
      </c>
      <c r="AG20" s="27">
        <v>16.183679999999999</v>
      </c>
      <c r="AH20" s="27">
        <v>13.298559999999995</v>
      </c>
      <c r="AI20" s="27">
        <v>14.370815999999994</v>
      </c>
      <c r="AJ20" s="27">
        <v>13.698559999999995</v>
      </c>
      <c r="AK20" s="27">
        <v>18.405119999999997</v>
      </c>
      <c r="AL20" s="27">
        <v>17.75488</v>
      </c>
      <c r="AM20" s="27">
        <v>15.521279999999996</v>
      </c>
      <c r="AN20" s="27">
        <v>11.778431999999995</v>
      </c>
      <c r="AO20" s="27">
        <v>20.632959999999997</v>
      </c>
      <c r="AP20" s="27">
        <v>18.045439999999999</v>
      </c>
      <c r="AQ20" s="27">
        <v>15.213951999999997</v>
      </c>
      <c r="AR20" s="27">
        <v>11.592371200000001</v>
      </c>
      <c r="AS20" s="27">
        <v>8.7954227200000012</v>
      </c>
      <c r="AT20" s="27">
        <v>8.7954227200000012</v>
      </c>
      <c r="AU20" s="27">
        <v>6.477253632</v>
      </c>
    </row>
    <row r="21" spans="6:47" x14ac:dyDescent="0.25">
      <c r="F21" s="27">
        <v>13.541247999999994</v>
      </c>
      <c r="G21" s="27">
        <v>13.803545599999991</v>
      </c>
      <c r="H21" s="27">
        <v>14.528399359999989</v>
      </c>
      <c r="I21" s="27">
        <v>13.573145599999991</v>
      </c>
      <c r="J21" s="27">
        <v>14.040079359999989</v>
      </c>
      <c r="K21" s="27">
        <v>11.927919615999995</v>
      </c>
      <c r="L21" s="27">
        <v>13.585679359999988</v>
      </c>
      <c r="M21" s="27">
        <v>12.673519615999989</v>
      </c>
      <c r="N21" s="27">
        <v>13.71751935999999</v>
      </c>
      <c r="O21" s="27">
        <v>15.39650559999999</v>
      </c>
      <c r="P21" s="27">
        <v>14.142361599999994</v>
      </c>
      <c r="Q21" s="27">
        <v>19.367296000000007</v>
      </c>
      <c r="R21" s="27">
        <v>12.820377599999997</v>
      </c>
      <c r="S21" s="27">
        <v>15.287065599999993</v>
      </c>
      <c r="T21" s="27">
        <v>16.412825599999991</v>
      </c>
      <c r="U21" s="27">
        <v>15.688575999999991</v>
      </c>
      <c r="V21" s="27">
        <v>19.567359999999997</v>
      </c>
      <c r="W21" s="27">
        <v>19.063296000000005</v>
      </c>
      <c r="X21" s="27">
        <v>17.077375999999994</v>
      </c>
      <c r="Y21" s="27">
        <v>20.504320000000007</v>
      </c>
      <c r="Z21" s="27">
        <v>17.328256</v>
      </c>
      <c r="AA21" s="27">
        <v>18.907520000000002</v>
      </c>
      <c r="AB21" s="27">
        <v>19.707520000000002</v>
      </c>
      <c r="AC21" s="27">
        <v>17.728256000000002</v>
      </c>
      <c r="AD21" s="27">
        <v>13.424511999999995</v>
      </c>
      <c r="AE21" s="27">
        <v>13.024511999999994</v>
      </c>
      <c r="AF21" s="27">
        <v>17.237120000000001</v>
      </c>
      <c r="AG21" s="27">
        <v>15.751679999999997</v>
      </c>
      <c r="AH21" s="27">
        <v>13.039359999999995</v>
      </c>
      <c r="AI21" s="27">
        <v>14.267135999999994</v>
      </c>
      <c r="AJ21" s="27">
        <v>13.439359999999995</v>
      </c>
      <c r="AK21" s="27">
        <v>17.925119999999996</v>
      </c>
      <c r="AL21" s="27">
        <v>17.46688</v>
      </c>
      <c r="AM21" s="27">
        <v>15.348479999999997</v>
      </c>
      <c r="AN21" s="27">
        <v>11.674751999999996</v>
      </c>
      <c r="AO21" s="27">
        <v>19.192959999999996</v>
      </c>
      <c r="AP21" s="27">
        <v>17.181439999999998</v>
      </c>
      <c r="AQ21" s="27">
        <v>14.695551999999999</v>
      </c>
      <c r="AR21" s="27">
        <v>11.2813312</v>
      </c>
      <c r="AS21" s="27">
        <v>8.6087987199999993</v>
      </c>
      <c r="AT21" s="27">
        <v>8.6087987199999993</v>
      </c>
      <c r="AU21" s="27">
        <v>6.3652792320000007</v>
      </c>
    </row>
    <row r="22" spans="6:47" x14ac:dyDescent="0.25">
      <c r="F22" s="27">
        <v>13.510143999999993</v>
      </c>
      <c r="G22" s="27">
        <v>13.585817599999992</v>
      </c>
      <c r="H22" s="27">
        <v>14.027279359999991</v>
      </c>
      <c r="I22" s="27">
        <v>13.303577599999992</v>
      </c>
      <c r="J22" s="27">
        <v>13.82235135999999</v>
      </c>
      <c r="K22" s="27">
        <v>11.710191615999996</v>
      </c>
      <c r="L22" s="27">
        <v>13.04999935999999</v>
      </c>
      <c r="M22" s="27">
        <v>12.137839615999992</v>
      </c>
      <c r="N22" s="27">
        <v>12.513679359999992</v>
      </c>
      <c r="O22" s="27">
        <v>13.16546559999999</v>
      </c>
      <c r="P22" s="27">
        <v>11.849113599999997</v>
      </c>
      <c r="Q22" s="27">
        <v>15.458815999999992</v>
      </c>
      <c r="R22" s="27">
        <v>10.4752896</v>
      </c>
      <c r="S22" s="27">
        <v>14.279065599999992</v>
      </c>
      <c r="T22" s="27">
        <v>14.646425599999993</v>
      </c>
      <c r="U22" s="27">
        <v>15.141375999999989</v>
      </c>
      <c r="V22" s="27">
        <v>18.568959999999997</v>
      </c>
      <c r="W22" s="27">
        <v>15.946495999999991</v>
      </c>
      <c r="X22" s="27">
        <v>16.07897599999999</v>
      </c>
      <c r="Y22" s="27">
        <v>18.615679999999998</v>
      </c>
      <c r="Z22" s="27">
        <v>18.907520000000002</v>
      </c>
      <c r="AA22" s="27">
        <v>15.992959999999991</v>
      </c>
      <c r="AB22" s="27">
        <v>17.192959999999996</v>
      </c>
      <c r="AC22" s="27">
        <v>13.424511999999993</v>
      </c>
      <c r="AD22" s="27">
        <v>11.915775999999994</v>
      </c>
      <c r="AE22" s="27">
        <v>11.515775999999994</v>
      </c>
      <c r="AF22" s="27">
        <v>16.638079999999999</v>
      </c>
      <c r="AG22" s="27">
        <v>15.423359999999997</v>
      </c>
      <c r="AH22" s="27">
        <v>12.873471999999992</v>
      </c>
      <c r="AI22" s="27">
        <v>14.318975999999994</v>
      </c>
      <c r="AJ22" s="27">
        <v>13.273471999999993</v>
      </c>
      <c r="AK22" s="27">
        <v>18.165119999999998</v>
      </c>
      <c r="AL22" s="27">
        <v>17.610880000000002</v>
      </c>
      <c r="AM22" s="27">
        <v>15.434879999999996</v>
      </c>
      <c r="AN22" s="27">
        <v>11.726591999999997</v>
      </c>
      <c r="AO22" s="27">
        <v>19.592959999999998</v>
      </c>
      <c r="AP22" s="27">
        <v>17.421439999999997</v>
      </c>
      <c r="AQ22" s="27">
        <v>14.839551999999998</v>
      </c>
      <c r="AR22" s="27">
        <v>11.3677312</v>
      </c>
      <c r="AS22" s="27">
        <v>8.6606387199999997</v>
      </c>
      <c r="AT22" s="27">
        <v>8.6606387199999997</v>
      </c>
      <c r="AU22" s="27">
        <v>6.3963832319999998</v>
      </c>
    </row>
    <row r="23" spans="6:47" x14ac:dyDescent="0.25">
      <c r="F23" s="27">
        <v>13.603455999999992</v>
      </c>
      <c r="G23" s="27">
        <v>13.64802559999999</v>
      </c>
      <c r="H23" s="27">
        <v>14.130959359999991</v>
      </c>
      <c r="I23" s="27">
        <v>13.36578559999999</v>
      </c>
      <c r="J23" s="27">
        <v>13.884559359999988</v>
      </c>
      <c r="K23" s="27">
        <v>11.772399615999994</v>
      </c>
      <c r="L23" s="27">
        <v>13.153679359999991</v>
      </c>
      <c r="M23" s="27">
        <v>12.241519615999993</v>
      </c>
      <c r="N23" s="27">
        <v>12.686479359999991</v>
      </c>
      <c r="O23" s="27">
        <v>13.453465599999991</v>
      </c>
      <c r="P23" s="27">
        <v>12.137113599999998</v>
      </c>
      <c r="Q23" s="27">
        <v>15.938815999999992</v>
      </c>
      <c r="R23" s="27">
        <v>10.7632896</v>
      </c>
      <c r="S23" s="27">
        <v>14.451865599999991</v>
      </c>
      <c r="T23" s="27">
        <v>14.934425599999994</v>
      </c>
      <c r="U23" s="27">
        <v>15.573375999999989</v>
      </c>
      <c r="V23" s="27">
        <v>19.288959999999999</v>
      </c>
      <c r="W23" s="27">
        <v>16.426495999999993</v>
      </c>
      <c r="X23" s="27">
        <v>15.83897599999999</v>
      </c>
      <c r="Y23" s="27">
        <v>18.215679999999995</v>
      </c>
      <c r="Z23" s="27">
        <v>19.707520000000002</v>
      </c>
      <c r="AA23" s="27">
        <v>17.192959999999996</v>
      </c>
      <c r="AB23" s="27">
        <v>16.552959999999995</v>
      </c>
      <c r="AC23" s="27">
        <v>16.552959999999995</v>
      </c>
      <c r="AD23" s="27">
        <v>16.552959999999995</v>
      </c>
      <c r="AE23" s="27">
        <v>16.552959999999995</v>
      </c>
      <c r="AF23" s="27">
        <v>17.070080000000001</v>
      </c>
      <c r="AG23" s="27">
        <v>15.682559999999997</v>
      </c>
      <c r="AH23" s="27">
        <v>13.028991999999995</v>
      </c>
      <c r="AI23" s="27">
        <v>14.474495999999995</v>
      </c>
      <c r="AJ23" s="27">
        <v>13.428991999999996</v>
      </c>
      <c r="AK23" s="27">
        <v>18.885119999999997</v>
      </c>
      <c r="AL23" s="27">
        <v>18.042880000000004</v>
      </c>
      <c r="AM23" s="27">
        <v>15.694079999999998</v>
      </c>
      <c r="AN23" s="27">
        <v>11.882111999999996</v>
      </c>
      <c r="AO23" s="27">
        <v>20.792960000000001</v>
      </c>
      <c r="AP23" s="27">
        <v>18.141439999999996</v>
      </c>
      <c r="AQ23" s="27">
        <v>15.271551999999998</v>
      </c>
      <c r="AR23" s="27">
        <v>11.626931200000001</v>
      </c>
      <c r="AS23" s="27">
        <v>8.8161587200000007</v>
      </c>
      <c r="AT23" s="27">
        <v>8.8161587200000007</v>
      </c>
      <c r="AU23" s="27">
        <v>6.4896952320000008</v>
      </c>
    </row>
    <row r="24" spans="6:47" x14ac:dyDescent="0.25">
      <c r="F24" s="27">
        <v>13.510143999999993</v>
      </c>
      <c r="G24" s="27">
        <v>13.616921599999991</v>
      </c>
      <c r="H24" s="27">
        <v>14.079119359999991</v>
      </c>
      <c r="I24" s="27">
        <v>13.334681599999991</v>
      </c>
      <c r="J24" s="27">
        <v>13.853455359999989</v>
      </c>
      <c r="K24" s="27">
        <v>11.741295615999995</v>
      </c>
      <c r="L24" s="27">
        <v>13.04999935999999</v>
      </c>
      <c r="M24" s="27">
        <v>12.106735615999993</v>
      </c>
      <c r="N24" s="27">
        <v>12.331119615999992</v>
      </c>
      <c r="O24" s="27">
        <v>12.809359359999991</v>
      </c>
      <c r="P24" s="27">
        <v>11.461903359999999</v>
      </c>
      <c r="Q24" s="27">
        <v>14.782361599999994</v>
      </c>
      <c r="R24" s="27">
        <v>10.069416960000002</v>
      </c>
      <c r="S24" s="27">
        <v>14.365465599999991</v>
      </c>
      <c r="T24" s="27">
        <v>14.790425599999994</v>
      </c>
      <c r="U24" s="27">
        <v>15.141375999999989</v>
      </c>
      <c r="V24" s="27">
        <v>18.568959999999997</v>
      </c>
      <c r="W24" s="27">
        <v>16.186495999999991</v>
      </c>
      <c r="X24" s="27">
        <v>15.69497599999999</v>
      </c>
      <c r="Y24" s="27">
        <v>17.975679999999997</v>
      </c>
      <c r="Z24" s="27">
        <v>17.728256000000002</v>
      </c>
      <c r="AA24" s="27">
        <v>15.992959999999991</v>
      </c>
      <c r="AB24" s="27">
        <v>16.552959999999995</v>
      </c>
      <c r="AC24" s="27">
        <v>13.424511999999993</v>
      </c>
      <c r="AD24" s="27">
        <v>13.824511999999993</v>
      </c>
      <c r="AE24" s="27">
        <v>11.131775999999993</v>
      </c>
      <c r="AF24" s="27">
        <v>16.638079999999999</v>
      </c>
      <c r="AG24" s="27">
        <v>15.423359999999997</v>
      </c>
      <c r="AH24" s="27">
        <v>12.873471999999992</v>
      </c>
      <c r="AI24" s="27">
        <v>14.267135999999994</v>
      </c>
      <c r="AJ24" s="27">
        <v>13.273471999999993</v>
      </c>
      <c r="AK24" s="27">
        <v>17.470079999999999</v>
      </c>
      <c r="AL24" s="27">
        <v>17.224959999999999</v>
      </c>
      <c r="AM24" s="27">
        <v>15.234431999999996</v>
      </c>
      <c r="AN24" s="27">
        <v>11.624985599999997</v>
      </c>
      <c r="AO24" s="27">
        <v>18.330879999999997</v>
      </c>
      <c r="AP24" s="27">
        <v>16.695295999999999</v>
      </c>
      <c r="AQ24" s="27">
        <v>14.422527999999998</v>
      </c>
      <c r="AR24" s="27">
        <v>11.117516799999999</v>
      </c>
      <c r="AS24" s="27">
        <v>8.5105100799999995</v>
      </c>
      <c r="AT24" s="27">
        <v>8.5105100799999995</v>
      </c>
      <c r="AU24" s="27">
        <v>6.3063060479999997</v>
      </c>
    </row>
    <row r="25" spans="6:47" x14ac:dyDescent="0.25">
      <c r="F25" s="27">
        <v>13.510143999999993</v>
      </c>
      <c r="G25" s="27">
        <v>13.585817599999992</v>
      </c>
      <c r="H25" s="27">
        <v>14.027279359999991</v>
      </c>
      <c r="I25" s="27">
        <v>13.303577599999992</v>
      </c>
      <c r="J25" s="27">
        <v>13.82235135999999</v>
      </c>
      <c r="K25" s="27">
        <v>11.710191615999996</v>
      </c>
      <c r="L25" s="27">
        <v>12.99815935999999</v>
      </c>
      <c r="M25" s="27">
        <v>12.054895615999992</v>
      </c>
      <c r="N25" s="27">
        <v>12.244719615999992</v>
      </c>
      <c r="O25" s="27">
        <v>12.665359359999991</v>
      </c>
      <c r="P25" s="27">
        <v>11.317903359999999</v>
      </c>
      <c r="Q25" s="27">
        <v>14.542361599999994</v>
      </c>
      <c r="R25" s="27">
        <v>9.9254169600000015</v>
      </c>
      <c r="S25" s="27">
        <v>14.279065599999992</v>
      </c>
      <c r="T25" s="27">
        <v>14.646425599999993</v>
      </c>
      <c r="U25" s="27">
        <v>15.141375999999989</v>
      </c>
      <c r="V25" s="27">
        <v>18.568959999999997</v>
      </c>
      <c r="W25" s="27">
        <v>15.946495999999991</v>
      </c>
      <c r="X25" s="27">
        <v>15.55097599999999</v>
      </c>
      <c r="Y25" s="27">
        <v>17.735679999999999</v>
      </c>
      <c r="Z25" s="27">
        <v>17.328256</v>
      </c>
      <c r="AA25" s="27">
        <v>15.992959999999991</v>
      </c>
      <c r="AB25" s="27">
        <v>16.552959999999995</v>
      </c>
      <c r="AC25" s="27">
        <v>13.824511999999993</v>
      </c>
      <c r="AD25" s="27">
        <v>11.531775999999994</v>
      </c>
      <c r="AE25" s="27">
        <v>11.531775999999994</v>
      </c>
      <c r="AF25" s="27">
        <v>16.638079999999999</v>
      </c>
      <c r="AG25" s="27">
        <v>15.423359999999997</v>
      </c>
      <c r="AH25" s="27">
        <v>12.873471999999992</v>
      </c>
      <c r="AI25" s="27">
        <v>14.267135999999994</v>
      </c>
      <c r="AJ25" s="27">
        <v>13.273471999999993</v>
      </c>
      <c r="AK25" s="27">
        <v>17.470079999999999</v>
      </c>
      <c r="AL25" s="27">
        <v>17.224959999999999</v>
      </c>
      <c r="AM25" s="27">
        <v>15.234431999999996</v>
      </c>
      <c r="AN25" s="27">
        <v>11.624985599999997</v>
      </c>
      <c r="AO25" s="27">
        <v>18.330879999999997</v>
      </c>
      <c r="AP25" s="27">
        <v>16.695295999999999</v>
      </c>
      <c r="AQ25" s="27">
        <v>14.422527999999998</v>
      </c>
      <c r="AR25" s="27">
        <v>11.117516799999999</v>
      </c>
      <c r="AS25" s="27">
        <v>8.5105100799999995</v>
      </c>
      <c r="AT25" s="27">
        <v>8.5105100799999995</v>
      </c>
      <c r="AU25" s="27">
        <v>6.3063060479999997</v>
      </c>
    </row>
    <row r="26" spans="6:47" x14ac:dyDescent="0.25">
      <c r="F26" s="27">
        <v>13.510143999999993</v>
      </c>
      <c r="G26" s="27">
        <v>13.585817599999992</v>
      </c>
      <c r="H26" s="27">
        <v>14.027279359999991</v>
      </c>
      <c r="I26" s="27">
        <v>13.303577599999992</v>
      </c>
      <c r="J26" s="27">
        <v>13.82235135999999</v>
      </c>
      <c r="K26" s="27">
        <v>11.710191615999996</v>
      </c>
      <c r="L26" s="27">
        <v>12.99815935999999</v>
      </c>
      <c r="M26" s="27">
        <v>12.054895615999992</v>
      </c>
      <c r="N26" s="27">
        <v>12.244719615999992</v>
      </c>
      <c r="O26" s="27">
        <v>12.665359359999991</v>
      </c>
      <c r="P26" s="27">
        <v>11.317903359999999</v>
      </c>
      <c r="Q26" s="27">
        <v>14.542361599999994</v>
      </c>
      <c r="R26" s="27">
        <v>9.9254169600000015</v>
      </c>
      <c r="S26" s="27">
        <v>14.279065599999992</v>
      </c>
      <c r="T26" s="27">
        <v>14.646425599999993</v>
      </c>
      <c r="U26" s="27">
        <v>15.141375999999989</v>
      </c>
      <c r="V26" s="27">
        <v>18.568959999999997</v>
      </c>
      <c r="W26" s="27">
        <v>15.946495999999991</v>
      </c>
      <c r="X26" s="27">
        <v>15.55097599999999</v>
      </c>
      <c r="Y26" s="27">
        <v>17.735679999999999</v>
      </c>
      <c r="Z26" s="27">
        <v>17.328256</v>
      </c>
      <c r="AA26" s="27">
        <v>15.992959999999991</v>
      </c>
      <c r="AB26" s="27">
        <v>16.552959999999995</v>
      </c>
      <c r="AC26" s="27">
        <v>13.424511999999993</v>
      </c>
      <c r="AD26" s="27">
        <v>11.531775999999994</v>
      </c>
      <c r="AE26" s="27">
        <v>11.131775999999993</v>
      </c>
      <c r="AF26" s="27">
        <v>16.638079999999999</v>
      </c>
      <c r="AG26" s="27">
        <v>15.423359999999997</v>
      </c>
      <c r="AH26" s="27">
        <v>12.873471999999992</v>
      </c>
      <c r="AI26" s="27">
        <v>14.267135999999994</v>
      </c>
      <c r="AJ26" s="27">
        <v>13.273471999999993</v>
      </c>
      <c r="AK26" s="27">
        <v>17.470079999999999</v>
      </c>
      <c r="AL26" s="27">
        <v>17.224959999999999</v>
      </c>
      <c r="AM26" s="27">
        <v>15.234431999999996</v>
      </c>
      <c r="AN26" s="27">
        <v>11.624985599999997</v>
      </c>
      <c r="AO26" s="27">
        <v>18.330879999999997</v>
      </c>
      <c r="AP26" s="27">
        <v>16.695295999999999</v>
      </c>
      <c r="AQ26" s="27">
        <v>14.422527999999998</v>
      </c>
      <c r="AR26" s="27">
        <v>11.117516799999999</v>
      </c>
      <c r="AS26" s="27">
        <v>8.5105100799999995</v>
      </c>
      <c r="AT26" s="27">
        <v>8.5105100799999995</v>
      </c>
      <c r="AU26" s="27">
        <v>6.3063060479999997</v>
      </c>
    </row>
    <row r="27" spans="6:47" x14ac:dyDescent="0.25">
      <c r="F27" s="27">
        <v>13.648383999999997</v>
      </c>
      <c r="G27" s="27">
        <v>13.585817599999992</v>
      </c>
      <c r="H27" s="27">
        <v>14.331545599999989</v>
      </c>
      <c r="I27" s="27">
        <v>13.303577599999992</v>
      </c>
      <c r="J27" s="27">
        <v>13.82235135999999</v>
      </c>
      <c r="K27" s="27">
        <v>11.892751359999997</v>
      </c>
      <c r="L27" s="27">
        <v>12.99815935999999</v>
      </c>
      <c r="M27" s="27">
        <v>12.054895615999992</v>
      </c>
      <c r="N27" s="27">
        <v>12.244719615999992</v>
      </c>
      <c r="O27" s="27">
        <v>12.769039359999992</v>
      </c>
      <c r="P27" s="27">
        <v>11.514895359999997</v>
      </c>
      <c r="Q27" s="27">
        <v>14.901785599999993</v>
      </c>
      <c r="R27" s="27">
        <v>10.14107136</v>
      </c>
      <c r="S27" s="27">
        <v>15.045375999999989</v>
      </c>
      <c r="T27" s="27">
        <v>15.46457599999999</v>
      </c>
      <c r="U27" s="27">
        <v>16.591359999999991</v>
      </c>
      <c r="V27" s="27">
        <v>21.071999999999999</v>
      </c>
      <c r="W27" s="27">
        <v>16.597375999999993</v>
      </c>
      <c r="X27" s="27">
        <v>17.000959999999992</v>
      </c>
      <c r="Y27" s="27">
        <v>18.872319999999998</v>
      </c>
      <c r="Z27" s="27">
        <v>17.979136</v>
      </c>
      <c r="AA27" s="27">
        <v>16.309759999999994</v>
      </c>
      <c r="AB27" s="27">
        <v>16.869759999999996</v>
      </c>
      <c r="AC27" s="27">
        <v>13.614591999999993</v>
      </c>
      <c r="AD27" s="27">
        <v>11.721855999999994</v>
      </c>
      <c r="AE27" s="27">
        <v>11.321855999999993</v>
      </c>
      <c r="AF27" s="27">
        <v>16.638079999999999</v>
      </c>
      <c r="AG27" s="27">
        <v>18.686720000000005</v>
      </c>
      <c r="AH27" s="27">
        <v>14.717439999999996</v>
      </c>
      <c r="AI27" s="27">
        <v>14.774015999999996</v>
      </c>
      <c r="AJ27" s="27">
        <v>15.117439999999997</v>
      </c>
      <c r="AK27" s="27">
        <v>18.350080000000002</v>
      </c>
      <c r="AL27" s="27">
        <v>19.301119999999997</v>
      </c>
      <c r="AM27" s="27">
        <v>16.36608</v>
      </c>
      <c r="AN27" s="27">
        <v>12.233471999999994</v>
      </c>
      <c r="AO27" s="27">
        <v>18.858879999999996</v>
      </c>
      <c r="AP27" s="27">
        <v>16.695295999999999</v>
      </c>
      <c r="AQ27" s="27">
        <v>15.206271999999998</v>
      </c>
      <c r="AR27" s="27">
        <v>11.587763199999999</v>
      </c>
      <c r="AS27" s="27">
        <v>8.7926579199999999</v>
      </c>
      <c r="AT27" s="27">
        <v>8.7926579199999999</v>
      </c>
      <c r="AU27" s="27">
        <v>6.475594752000001</v>
      </c>
    </row>
    <row r="28" spans="6:47" x14ac:dyDescent="0.25">
      <c r="F28" s="27">
        <v>13.792383999999997</v>
      </c>
      <c r="G28" s="27">
        <v>13.672217599999991</v>
      </c>
      <c r="H28" s="27">
        <v>14.027279359999991</v>
      </c>
      <c r="I28" s="27">
        <v>13.389977599999991</v>
      </c>
      <c r="J28" s="27">
        <v>13.82235135999999</v>
      </c>
      <c r="K28" s="27">
        <v>11.710191615999996</v>
      </c>
      <c r="L28" s="27">
        <v>13.04999935999999</v>
      </c>
      <c r="M28" s="27">
        <v>12.054895615999992</v>
      </c>
      <c r="N28" s="27">
        <v>12.244719615999992</v>
      </c>
      <c r="O28" s="27">
        <v>12.665359359999991</v>
      </c>
      <c r="P28" s="27">
        <v>11.411215359999996</v>
      </c>
      <c r="Q28" s="27">
        <v>14.728985599999994</v>
      </c>
      <c r="R28" s="27">
        <v>10.037391359999999</v>
      </c>
      <c r="S28" s="27">
        <v>14.53826559999999</v>
      </c>
      <c r="T28" s="27">
        <v>14.957465599999992</v>
      </c>
      <c r="U28" s="27">
        <v>15.746175999999988</v>
      </c>
      <c r="V28" s="27">
        <v>19.663360000000001</v>
      </c>
      <c r="W28" s="27">
        <v>16.309375999999993</v>
      </c>
      <c r="X28" s="27">
        <v>16.155775999999989</v>
      </c>
      <c r="Y28" s="27">
        <v>18.392319999999994</v>
      </c>
      <c r="Z28" s="27">
        <v>17.691136</v>
      </c>
      <c r="AA28" s="27">
        <v>16.165759999999992</v>
      </c>
      <c r="AB28" s="27">
        <v>16.725759999999998</v>
      </c>
      <c r="AC28" s="27">
        <v>13.528191999999994</v>
      </c>
      <c r="AD28" s="27">
        <v>11.635455999999994</v>
      </c>
      <c r="AE28" s="27">
        <v>11.235455999999994</v>
      </c>
      <c r="AF28" s="27">
        <v>18.686720000000005</v>
      </c>
      <c r="AG28" s="27">
        <v>15.423359999999997</v>
      </c>
      <c r="AH28" s="27">
        <v>16.766080000000002</v>
      </c>
      <c r="AI28" s="27">
        <v>15.014015999999994</v>
      </c>
      <c r="AJ28" s="27">
        <v>16.766080000000002</v>
      </c>
      <c r="AK28" s="27">
        <v>17.95008</v>
      </c>
      <c r="AL28" s="27">
        <v>18.02496</v>
      </c>
      <c r="AM28" s="27">
        <v>17.166080000000001</v>
      </c>
      <c r="AN28" s="27">
        <v>12.473471999999994</v>
      </c>
      <c r="AO28" s="27">
        <v>18.618879999999994</v>
      </c>
      <c r="AP28" s="27">
        <v>17.175295999999999</v>
      </c>
      <c r="AQ28" s="27">
        <v>14.902527999999997</v>
      </c>
      <c r="AR28" s="27">
        <v>11.405516799999999</v>
      </c>
      <c r="AS28" s="27">
        <v>8.6833100800000018</v>
      </c>
      <c r="AT28" s="27">
        <v>8.6833100800000018</v>
      </c>
      <c r="AU28" s="27">
        <v>6.4099860480000004</v>
      </c>
    </row>
    <row r="29" spans="6:47" x14ac:dyDescent="0.25">
      <c r="F29" s="27">
        <v>14.032383999999997</v>
      </c>
      <c r="G29" s="27">
        <v>13.816217599999991</v>
      </c>
      <c r="H29" s="27">
        <v>14.11367935999999</v>
      </c>
      <c r="I29" s="27">
        <v>13.533977599999991</v>
      </c>
      <c r="J29" s="27">
        <v>13.908751359999989</v>
      </c>
      <c r="K29" s="27">
        <v>11.762031615999996</v>
      </c>
      <c r="L29" s="27">
        <v>13.13639935999999</v>
      </c>
      <c r="M29" s="27">
        <v>12.106735615999993</v>
      </c>
      <c r="N29" s="27">
        <v>12.296559615999993</v>
      </c>
      <c r="O29" s="27">
        <v>12.665359359999991</v>
      </c>
      <c r="P29" s="27">
        <v>11.317903359999999</v>
      </c>
      <c r="Q29" s="27">
        <v>14.542361599999994</v>
      </c>
      <c r="R29" s="27">
        <v>9.9254169600000015</v>
      </c>
      <c r="S29" s="27">
        <v>14.279065599999992</v>
      </c>
      <c r="T29" s="27">
        <v>14.646425599999993</v>
      </c>
      <c r="U29" s="27">
        <v>15.227775999999988</v>
      </c>
      <c r="V29" s="27">
        <v>18.79936</v>
      </c>
      <c r="W29" s="27">
        <v>15.998335999999991</v>
      </c>
      <c r="X29" s="27">
        <v>15.637375999999989</v>
      </c>
      <c r="Y29" s="27">
        <v>17.873919999999995</v>
      </c>
      <c r="Z29" s="27">
        <v>17.380095999999998</v>
      </c>
      <c r="AA29" s="27">
        <v>15.992959999999991</v>
      </c>
      <c r="AB29" s="27">
        <v>16.552959999999995</v>
      </c>
      <c r="AC29" s="27">
        <v>13.424511999999993</v>
      </c>
      <c r="AD29" s="27">
        <v>11.531775999999994</v>
      </c>
      <c r="AE29" s="27">
        <v>11.131775999999993</v>
      </c>
      <c r="AF29" s="27">
        <v>17.24672</v>
      </c>
      <c r="AG29" s="27">
        <v>16.766080000000002</v>
      </c>
      <c r="AH29" s="27">
        <v>12.873471999999992</v>
      </c>
      <c r="AI29" s="27">
        <v>15.414015999999995</v>
      </c>
      <c r="AJ29" s="27">
        <v>13.273471999999993</v>
      </c>
      <c r="AK29" s="27">
        <v>17.470079999999999</v>
      </c>
      <c r="AL29" s="27">
        <v>17.224959999999999</v>
      </c>
      <c r="AM29" s="27">
        <v>15.234431999999996</v>
      </c>
      <c r="AN29" s="27">
        <v>11.624985599999997</v>
      </c>
      <c r="AO29" s="27">
        <v>18.330879999999997</v>
      </c>
      <c r="AP29" s="27">
        <v>16.695295999999999</v>
      </c>
      <c r="AQ29" s="27">
        <v>14.422527999999998</v>
      </c>
      <c r="AR29" s="27">
        <v>11.117516799999999</v>
      </c>
      <c r="AS29" s="27">
        <v>8.5105100799999995</v>
      </c>
      <c r="AT29" s="27">
        <v>8.5105100799999995</v>
      </c>
      <c r="AU29" s="27">
        <v>6.3063060479999997</v>
      </c>
    </row>
    <row r="30" spans="6:47" x14ac:dyDescent="0.25">
      <c r="F30" s="27">
        <v>16.808959999999999</v>
      </c>
      <c r="G30" s="27">
        <v>15.312127999999989</v>
      </c>
      <c r="H30" s="27">
        <v>14.90754559999999</v>
      </c>
      <c r="I30" s="27">
        <v>15.081727999999989</v>
      </c>
      <c r="J30" s="27">
        <v>14.75445759999999</v>
      </c>
      <c r="K30" s="27">
        <v>12.238351359999994</v>
      </c>
      <c r="L30" s="27">
        <v>14.03394559999999</v>
      </c>
      <c r="M30" s="27">
        <v>12.61415935999999</v>
      </c>
      <c r="N30" s="27">
        <v>12.77287935999999</v>
      </c>
      <c r="O30" s="27">
        <v>12.872719359999993</v>
      </c>
      <c r="P30" s="27">
        <v>11.442319359999995</v>
      </c>
      <c r="Q30" s="27">
        <v>14.573465599999993</v>
      </c>
      <c r="R30" s="27">
        <v>9.9440793600000017</v>
      </c>
      <c r="S30" s="27">
        <v>14.624665599999989</v>
      </c>
      <c r="T30" s="27">
        <v>14.698265599999994</v>
      </c>
      <c r="U30" s="27">
        <v>15.141375999999989</v>
      </c>
      <c r="V30" s="27">
        <v>18.655359999999998</v>
      </c>
      <c r="W30" s="27">
        <v>15.946495999999991</v>
      </c>
      <c r="X30" s="27">
        <v>15.55097599999999</v>
      </c>
      <c r="Y30" s="27">
        <v>17.787519999999997</v>
      </c>
      <c r="Z30" s="27">
        <v>17.328256</v>
      </c>
      <c r="AA30" s="27">
        <v>16.044799999999995</v>
      </c>
      <c r="AB30" s="27">
        <v>16.604799999999997</v>
      </c>
      <c r="AC30" s="27">
        <v>13.455615999999992</v>
      </c>
      <c r="AD30" s="27">
        <v>11.562879999999994</v>
      </c>
      <c r="AE30" s="27">
        <v>11.162879999999992</v>
      </c>
      <c r="AF30" s="27">
        <v>17.006719999999998</v>
      </c>
      <c r="AG30" s="27">
        <v>16.36608</v>
      </c>
      <c r="AH30" s="27">
        <v>15.414015999999995</v>
      </c>
      <c r="AI30" s="27">
        <v>14.267135999999994</v>
      </c>
      <c r="AJ30" s="27">
        <v>15.414015999999995</v>
      </c>
      <c r="AK30" s="27">
        <v>17.838719999999999</v>
      </c>
      <c r="AL30" s="27">
        <v>18.167680000000004</v>
      </c>
      <c r="AM30" s="27">
        <v>17.374976</v>
      </c>
      <c r="AN30" s="27">
        <v>14.267135999999994</v>
      </c>
      <c r="AO30" s="27">
        <v>18.469119999999997</v>
      </c>
      <c r="AP30" s="27">
        <v>17.146879999999999</v>
      </c>
      <c r="AQ30" s="27">
        <v>14.988159999999999</v>
      </c>
      <c r="AR30" s="27">
        <v>11.456896</v>
      </c>
      <c r="AS30" s="27">
        <v>8.7141376000000008</v>
      </c>
      <c r="AT30" s="27">
        <v>8.7141376000000008</v>
      </c>
      <c r="AU30" s="27">
        <v>6.4284825600000008</v>
      </c>
    </row>
    <row r="31" spans="6:47" x14ac:dyDescent="0.25">
      <c r="F31" s="27">
        <v>14.032383999999997</v>
      </c>
      <c r="G31" s="27">
        <v>13.816217599999991</v>
      </c>
      <c r="H31" s="27">
        <v>14.11367935999999</v>
      </c>
      <c r="I31" s="27">
        <v>13.533977599999991</v>
      </c>
      <c r="J31" s="27">
        <v>13.908751359999989</v>
      </c>
      <c r="K31" s="27">
        <v>11.762031615999996</v>
      </c>
      <c r="L31" s="27">
        <v>13.13639935999999</v>
      </c>
      <c r="M31" s="27">
        <v>12.106735615999993</v>
      </c>
      <c r="N31" s="27">
        <v>12.296559615999993</v>
      </c>
      <c r="O31" s="27">
        <v>12.665359359999991</v>
      </c>
      <c r="P31" s="27">
        <v>11.317903359999999</v>
      </c>
      <c r="Q31" s="27">
        <v>14.542361599999994</v>
      </c>
      <c r="R31" s="27">
        <v>9.9254169600000015</v>
      </c>
      <c r="S31" s="27">
        <v>14.279065599999992</v>
      </c>
      <c r="T31" s="27">
        <v>14.646425599999993</v>
      </c>
      <c r="U31" s="27">
        <v>15.227775999999988</v>
      </c>
      <c r="V31" s="27">
        <v>18.79936</v>
      </c>
      <c r="W31" s="27">
        <v>15.998335999999991</v>
      </c>
      <c r="X31" s="27">
        <v>15.637375999999989</v>
      </c>
      <c r="Y31" s="27">
        <v>17.873919999999995</v>
      </c>
      <c r="Z31" s="27">
        <v>17.380095999999998</v>
      </c>
      <c r="AA31" s="27">
        <v>15.992959999999991</v>
      </c>
      <c r="AB31" s="27">
        <v>16.552959999999995</v>
      </c>
      <c r="AC31" s="27">
        <v>13.424511999999993</v>
      </c>
      <c r="AD31" s="27">
        <v>11.531775999999994</v>
      </c>
      <c r="AE31" s="27">
        <v>11.131775999999993</v>
      </c>
      <c r="AF31" s="27">
        <v>17.24672</v>
      </c>
      <c r="AG31" s="27">
        <v>16.766080000000002</v>
      </c>
      <c r="AH31" s="27">
        <v>13.273471999999993</v>
      </c>
      <c r="AI31" s="27">
        <v>15.414015999999995</v>
      </c>
      <c r="AJ31" s="27">
        <v>13.273471999999993</v>
      </c>
      <c r="AK31" s="27">
        <v>17.470079999999999</v>
      </c>
      <c r="AL31" s="27">
        <v>17.224959999999999</v>
      </c>
      <c r="AM31" s="27">
        <v>15.634431999999995</v>
      </c>
      <c r="AN31" s="27">
        <v>11.624985599999997</v>
      </c>
      <c r="AO31" s="27">
        <v>18.330879999999997</v>
      </c>
      <c r="AP31" s="27">
        <v>16.695295999999999</v>
      </c>
      <c r="AQ31" s="27">
        <v>14.422527999999998</v>
      </c>
      <c r="AR31" s="27">
        <v>11.117516799999999</v>
      </c>
      <c r="AS31" s="27">
        <v>8.5105100799999995</v>
      </c>
      <c r="AT31" s="27">
        <v>8.5105100799999995</v>
      </c>
      <c r="AU31" s="27">
        <v>6.3063060479999997</v>
      </c>
    </row>
    <row r="32" spans="6:47" x14ac:dyDescent="0.25">
      <c r="F32" s="27">
        <v>13.931775999999994</v>
      </c>
      <c r="G32" s="27">
        <v>13.585817599999992</v>
      </c>
      <c r="H32" s="27">
        <v>14.331545599999989</v>
      </c>
      <c r="I32" s="27">
        <v>13.355417599999992</v>
      </c>
      <c r="J32" s="27">
        <v>13.87419135999999</v>
      </c>
      <c r="K32" s="27">
        <v>11.892751359999997</v>
      </c>
      <c r="L32" s="27">
        <v>12.99815935999999</v>
      </c>
      <c r="M32" s="27">
        <v>12.085999615999992</v>
      </c>
      <c r="N32" s="27">
        <v>12.244719615999992</v>
      </c>
      <c r="O32" s="27">
        <v>12.717199359999992</v>
      </c>
      <c r="P32" s="27">
        <v>11.400847359999998</v>
      </c>
      <c r="Q32" s="27">
        <v>14.711705599999993</v>
      </c>
      <c r="R32" s="27">
        <v>10.027023360000001</v>
      </c>
      <c r="S32" s="27">
        <v>14.87257599999999</v>
      </c>
      <c r="T32" s="27">
        <v>15.291775999999992</v>
      </c>
      <c r="U32" s="27">
        <v>16.303359999999991</v>
      </c>
      <c r="V32" s="27">
        <v>20.591999999999999</v>
      </c>
      <c r="W32" s="27">
        <v>16.280575999999993</v>
      </c>
      <c r="X32" s="27">
        <v>16.712959999999992</v>
      </c>
      <c r="Y32" s="27">
        <v>18.344319999999993</v>
      </c>
      <c r="Z32" s="27">
        <v>17.662336</v>
      </c>
      <c r="AA32" s="27">
        <v>17.158399999999997</v>
      </c>
      <c r="AB32" s="27">
        <v>17.718399999999999</v>
      </c>
      <c r="AC32" s="27">
        <v>14.123775999999992</v>
      </c>
      <c r="AD32" s="27">
        <v>12.231039999999995</v>
      </c>
      <c r="AE32" s="27">
        <v>11.831039999999993</v>
      </c>
      <c r="AF32" s="27">
        <v>18.350080000000002</v>
      </c>
      <c r="AG32" s="27">
        <v>16.210559999999997</v>
      </c>
      <c r="AH32" s="27">
        <v>13.345791999999994</v>
      </c>
      <c r="AI32" s="27">
        <v>15.246335999999998</v>
      </c>
      <c r="AJ32" s="27">
        <v>13.745791999999994</v>
      </c>
      <c r="AK32" s="27">
        <v>17.470079999999999</v>
      </c>
      <c r="AL32" s="27">
        <v>20.613119999999999</v>
      </c>
      <c r="AM32" s="27">
        <v>17.153280000000002</v>
      </c>
      <c r="AN32" s="27">
        <v>12.705791999999995</v>
      </c>
      <c r="AO32" s="27">
        <v>20.325119999999998</v>
      </c>
      <c r="AP32" s="27">
        <v>18.484479999999998</v>
      </c>
      <c r="AQ32" s="27">
        <v>15.206271999999998</v>
      </c>
      <c r="AR32" s="27">
        <v>11.587763199999999</v>
      </c>
      <c r="AS32" s="27">
        <v>8.7926579199999999</v>
      </c>
      <c r="AT32" s="27">
        <v>8.7926579199999999</v>
      </c>
      <c r="AU32" s="27">
        <v>6.475594752000001</v>
      </c>
    </row>
    <row r="33" spans="6:47" x14ac:dyDescent="0.25">
      <c r="F33" s="27">
        <v>14.728959999999994</v>
      </c>
      <c r="G33" s="27">
        <v>14.064127999999988</v>
      </c>
      <c r="H33" s="27">
        <v>14.158745599999991</v>
      </c>
      <c r="I33" s="27">
        <v>13.833727999999988</v>
      </c>
      <c r="J33" s="27">
        <v>14.00565759999999</v>
      </c>
      <c r="K33" s="27">
        <v>11.789071359999996</v>
      </c>
      <c r="L33" s="27">
        <v>13.285145599999991</v>
      </c>
      <c r="M33" s="27">
        <v>12.164879359999992</v>
      </c>
      <c r="N33" s="27">
        <v>12.323599359999992</v>
      </c>
      <c r="O33" s="27">
        <v>12.665359359999991</v>
      </c>
      <c r="P33" s="27">
        <v>11.349007359999998</v>
      </c>
      <c r="Q33" s="27">
        <v>14.625305599999994</v>
      </c>
      <c r="R33" s="27">
        <v>9.9751833600000008</v>
      </c>
      <c r="S33" s="27">
        <v>14.58457599999999</v>
      </c>
      <c r="T33" s="27">
        <v>15.003775999999991</v>
      </c>
      <c r="U33" s="27">
        <v>15.823359999999987</v>
      </c>
      <c r="V33" s="27">
        <v>19.791999999999998</v>
      </c>
      <c r="W33" s="27">
        <v>16.136575999999991</v>
      </c>
      <c r="X33" s="27">
        <v>16.232959999999991</v>
      </c>
      <c r="Y33" s="27">
        <v>18.104319999999994</v>
      </c>
      <c r="Z33" s="27">
        <v>17.518336000000001</v>
      </c>
      <c r="AA33" s="27">
        <v>16.678399999999996</v>
      </c>
      <c r="AB33" s="27">
        <v>17.238399999999995</v>
      </c>
      <c r="AC33" s="27">
        <v>13.835775999999992</v>
      </c>
      <c r="AD33" s="27">
        <v>11.943039999999995</v>
      </c>
      <c r="AE33" s="27">
        <v>11.543039999999992</v>
      </c>
      <c r="AF33" s="27">
        <v>19.301119999999997</v>
      </c>
      <c r="AG33" s="27">
        <v>18.02496</v>
      </c>
      <c r="AH33" s="27">
        <v>14.434431999999994</v>
      </c>
      <c r="AI33" s="27">
        <v>16.574975999999999</v>
      </c>
      <c r="AJ33" s="27">
        <v>14.834431999999994</v>
      </c>
      <c r="AK33" s="27">
        <v>20.613119999999999</v>
      </c>
      <c r="AL33" s="27">
        <v>17.224959999999999</v>
      </c>
      <c r="AM33" s="27">
        <v>19.367680000000004</v>
      </c>
      <c r="AN33" s="27">
        <v>14.034431999999995</v>
      </c>
      <c r="AO33" s="27">
        <v>19.525119999999998</v>
      </c>
      <c r="AP33" s="27">
        <v>19.30688</v>
      </c>
      <c r="AQ33" s="27">
        <v>18.248960000000004</v>
      </c>
      <c r="AR33" s="27">
        <v>13.413376</v>
      </c>
      <c r="AS33" s="27">
        <v>9.8880256000000006</v>
      </c>
      <c r="AT33" s="27">
        <v>9.8880256000000006</v>
      </c>
      <c r="AU33" s="27">
        <v>7.1328153600000004</v>
      </c>
    </row>
    <row r="34" spans="6:47" x14ac:dyDescent="0.25">
      <c r="F34" s="27">
        <v>15.208959999999994</v>
      </c>
      <c r="G34" s="27">
        <v>14.352127999999988</v>
      </c>
      <c r="H34" s="27">
        <v>14.331545599999989</v>
      </c>
      <c r="I34" s="27">
        <v>14.121727999999989</v>
      </c>
      <c r="J34" s="27">
        <v>14.178457599999989</v>
      </c>
      <c r="K34" s="27">
        <v>11.892751359999997</v>
      </c>
      <c r="L34" s="27">
        <v>13.45794559999999</v>
      </c>
      <c r="M34" s="27">
        <v>12.268559359999992</v>
      </c>
      <c r="N34" s="27">
        <v>12.427279359999993</v>
      </c>
      <c r="O34" s="27">
        <v>12.665359359999991</v>
      </c>
      <c r="P34" s="27">
        <v>11.317903359999999</v>
      </c>
      <c r="Q34" s="27">
        <v>14.573465599999993</v>
      </c>
      <c r="R34" s="27">
        <v>9.9440793600000017</v>
      </c>
      <c r="S34" s="27">
        <v>14.279065599999992</v>
      </c>
      <c r="T34" s="27">
        <v>14.698265599999994</v>
      </c>
      <c r="U34" s="27">
        <v>15.314175999999987</v>
      </c>
      <c r="V34" s="27">
        <v>18.943359999999998</v>
      </c>
      <c r="W34" s="27">
        <v>16.05017599999999</v>
      </c>
      <c r="X34" s="27">
        <v>15.723775999999988</v>
      </c>
      <c r="Y34" s="27">
        <v>17.960319999999992</v>
      </c>
      <c r="Z34" s="27">
        <v>17.431936</v>
      </c>
      <c r="AA34" s="27">
        <v>16.303999999999995</v>
      </c>
      <c r="AB34" s="27">
        <v>16.863999999999997</v>
      </c>
      <c r="AC34" s="27">
        <v>13.611135999999993</v>
      </c>
      <c r="AD34" s="27">
        <v>11.718399999999995</v>
      </c>
      <c r="AE34" s="27">
        <v>11.318399999999993</v>
      </c>
      <c r="AF34" s="27">
        <v>17.486719999999998</v>
      </c>
      <c r="AG34" s="27">
        <v>17.166080000000001</v>
      </c>
      <c r="AH34" s="27">
        <v>12.873471999999992</v>
      </c>
      <c r="AI34" s="27">
        <v>17.374976</v>
      </c>
      <c r="AJ34" s="27">
        <v>15.634431999999995</v>
      </c>
      <c r="AK34" s="27">
        <v>18.558719999999997</v>
      </c>
      <c r="AL34" s="27">
        <v>19.367680000000004</v>
      </c>
      <c r="AM34" s="27">
        <v>15.234431999999996</v>
      </c>
      <c r="AN34" s="27">
        <v>15.234431999999996</v>
      </c>
      <c r="AO34" s="27">
        <v>18.901119999999995</v>
      </c>
      <c r="AP34" s="27">
        <v>17.866880000000002</v>
      </c>
      <c r="AQ34" s="27">
        <v>15.708159999999998</v>
      </c>
      <c r="AR34" s="27">
        <v>11.888896000000001</v>
      </c>
      <c r="AS34" s="27">
        <v>8.9733376000000007</v>
      </c>
      <c r="AT34" s="27">
        <v>8.9733376000000007</v>
      </c>
      <c r="AU34" s="27">
        <v>6.5840025600000001</v>
      </c>
    </row>
    <row r="35" spans="6:47" x14ac:dyDescent="0.25">
      <c r="F35" s="27">
        <v>13.510143999999993</v>
      </c>
      <c r="G35" s="27">
        <v>13.585817599999992</v>
      </c>
      <c r="H35" s="27">
        <v>14.027279359999991</v>
      </c>
      <c r="I35" s="27">
        <v>13.303577599999992</v>
      </c>
      <c r="J35" s="27">
        <v>13.82235135999999</v>
      </c>
      <c r="K35" s="27">
        <v>11.710191615999996</v>
      </c>
      <c r="L35" s="27">
        <v>12.99815935999999</v>
      </c>
      <c r="M35" s="27">
        <v>12.054895615999992</v>
      </c>
      <c r="N35" s="27">
        <v>12.244719615999992</v>
      </c>
      <c r="O35" s="27">
        <v>12.665359359999991</v>
      </c>
      <c r="P35" s="27">
        <v>11.317903359999999</v>
      </c>
      <c r="Q35" s="27">
        <v>14.542361599999994</v>
      </c>
      <c r="R35" s="27">
        <v>9.9254169600000015</v>
      </c>
      <c r="S35" s="27">
        <v>14.279065599999992</v>
      </c>
      <c r="T35" s="27">
        <v>14.646425599999993</v>
      </c>
      <c r="U35" s="27">
        <v>15.141375999999989</v>
      </c>
      <c r="V35" s="27">
        <v>18.568959999999997</v>
      </c>
      <c r="W35" s="27">
        <v>15.946495999999991</v>
      </c>
      <c r="X35" s="27">
        <v>15.55097599999999</v>
      </c>
      <c r="Y35" s="27">
        <v>17.735679999999999</v>
      </c>
      <c r="Z35" s="27">
        <v>17.328256</v>
      </c>
      <c r="AA35" s="27">
        <v>15.992959999999991</v>
      </c>
      <c r="AB35" s="27">
        <v>16.552959999999995</v>
      </c>
      <c r="AC35" s="27">
        <v>13.424511999999993</v>
      </c>
      <c r="AD35" s="27">
        <v>11.531775999999994</v>
      </c>
      <c r="AE35" s="27">
        <v>11.131775999999993</v>
      </c>
      <c r="AF35" s="27">
        <v>16.638079999999999</v>
      </c>
      <c r="AG35" s="27">
        <v>15.423359999999997</v>
      </c>
      <c r="AH35" s="27">
        <v>12.873471999999992</v>
      </c>
      <c r="AI35" s="27">
        <v>14.267135999999994</v>
      </c>
      <c r="AJ35" s="27">
        <v>13.273471999999993</v>
      </c>
      <c r="AK35" s="27">
        <v>17.470079999999999</v>
      </c>
      <c r="AL35" s="27">
        <v>17.224959999999999</v>
      </c>
      <c r="AM35" s="27">
        <v>15.234431999999996</v>
      </c>
      <c r="AN35" s="27">
        <v>11.624985599999997</v>
      </c>
      <c r="AO35" s="27">
        <v>18.330879999999997</v>
      </c>
      <c r="AP35" s="27">
        <v>16.695295999999999</v>
      </c>
      <c r="AQ35" s="27">
        <v>14.422527999999998</v>
      </c>
      <c r="AR35" s="27">
        <v>11.117516799999999</v>
      </c>
      <c r="AS35" s="27">
        <v>8.5105100799999995</v>
      </c>
      <c r="AT35" s="27">
        <v>8.5105100799999995</v>
      </c>
      <c r="AU35" s="27">
        <v>6.3063060479999997</v>
      </c>
    </row>
    <row r="36" spans="6:47" x14ac:dyDescent="0.25">
      <c r="F36" s="27">
        <v>13.758975999999993</v>
      </c>
      <c r="G36" s="27">
        <v>13.75170559999999</v>
      </c>
      <c r="H36" s="27">
        <v>14.521625599999989</v>
      </c>
      <c r="I36" s="27">
        <v>13.303577599999992</v>
      </c>
      <c r="J36" s="27">
        <v>14.040079359999989</v>
      </c>
      <c r="K36" s="27">
        <v>12.006799359999995</v>
      </c>
      <c r="L36" s="27">
        <v>12.99815935999999</v>
      </c>
      <c r="M36" s="27">
        <v>12.085999615999992</v>
      </c>
      <c r="N36" s="27">
        <v>12.427279359999993</v>
      </c>
      <c r="O36" s="27">
        <v>13.02146559999999</v>
      </c>
      <c r="P36" s="27">
        <v>11.705113599999997</v>
      </c>
      <c r="Q36" s="27">
        <v>15.218815999999991</v>
      </c>
      <c r="R36" s="27">
        <v>10.3312896</v>
      </c>
      <c r="S36" s="27">
        <v>15.102975999999989</v>
      </c>
      <c r="T36" s="27">
        <v>15.009535999999992</v>
      </c>
      <c r="U36" s="27">
        <v>16.658559999999994</v>
      </c>
      <c r="V36" s="27">
        <v>21.0976</v>
      </c>
      <c r="W36" s="27">
        <v>17.125759999999996</v>
      </c>
      <c r="X36" s="27">
        <v>16.684159999999995</v>
      </c>
      <c r="Y36" s="27">
        <v>20.632959999999997</v>
      </c>
      <c r="Z36" s="27">
        <v>18.507520000000003</v>
      </c>
      <c r="AA36" s="27">
        <v>19.592959999999998</v>
      </c>
      <c r="AB36" s="27">
        <v>20.792960000000001</v>
      </c>
      <c r="AC36" s="27">
        <v>15.352959999999992</v>
      </c>
      <c r="AD36" s="27">
        <v>14.075775999999992</v>
      </c>
      <c r="AE36" s="27">
        <v>13.675775999999994</v>
      </c>
      <c r="AF36" s="27">
        <v>17.550080000000001</v>
      </c>
      <c r="AG36" s="27">
        <v>15.970559999999997</v>
      </c>
      <c r="AH36" s="27">
        <v>13.201791999999994</v>
      </c>
      <c r="AI36" s="27">
        <v>14.785535999999997</v>
      </c>
      <c r="AJ36" s="27">
        <v>13.601791999999994</v>
      </c>
      <c r="AK36" s="27">
        <v>20.325119999999998</v>
      </c>
      <c r="AL36" s="27">
        <v>18.906880000000001</v>
      </c>
      <c r="AM36" s="27">
        <v>16.212479999999999</v>
      </c>
      <c r="AN36" s="27">
        <v>12.193151999999996</v>
      </c>
      <c r="AO36" s="27">
        <v>18.330879999999997</v>
      </c>
      <c r="AP36" s="27">
        <v>20.939519999999998</v>
      </c>
      <c r="AQ36" s="27">
        <v>16.919295999999996</v>
      </c>
      <c r="AR36" s="27">
        <v>12.615577600000002</v>
      </c>
      <c r="AS36" s="27">
        <v>9.4093465599999995</v>
      </c>
      <c r="AT36" s="27">
        <v>9.4093465599999995</v>
      </c>
      <c r="AU36" s="27">
        <v>6.8456079360000004</v>
      </c>
    </row>
    <row r="37" spans="6:47" x14ac:dyDescent="0.25">
      <c r="F37" s="27">
        <v>13.845375999999993</v>
      </c>
      <c r="G37" s="27">
        <v>13.585817599999992</v>
      </c>
      <c r="H37" s="27">
        <v>14.158745599999991</v>
      </c>
      <c r="I37" s="27">
        <v>13.355417599999992</v>
      </c>
      <c r="J37" s="27">
        <v>13.82235135999999</v>
      </c>
      <c r="K37" s="27">
        <v>11.789071359999996</v>
      </c>
      <c r="L37" s="27">
        <v>12.99815935999999</v>
      </c>
      <c r="M37" s="27">
        <v>12.054895615999992</v>
      </c>
      <c r="N37" s="27">
        <v>12.323599359999992</v>
      </c>
      <c r="O37" s="27">
        <v>12.848665599999991</v>
      </c>
      <c r="P37" s="27">
        <v>11.532313599999998</v>
      </c>
      <c r="Q37" s="27">
        <v>14.930815999999991</v>
      </c>
      <c r="R37" s="27">
        <v>10.158489600000001</v>
      </c>
      <c r="S37" s="27">
        <v>14.49817599999999</v>
      </c>
      <c r="T37" s="27">
        <v>14.865535999999992</v>
      </c>
      <c r="U37" s="27">
        <v>15.506559999999988</v>
      </c>
      <c r="V37" s="27">
        <v>19.177599999999998</v>
      </c>
      <c r="W37" s="27">
        <v>16.645759999999996</v>
      </c>
      <c r="X37" s="27">
        <v>15.916159999999989</v>
      </c>
      <c r="Y37" s="27">
        <v>18.952959999999994</v>
      </c>
      <c r="Z37" s="27">
        <v>18.027519999999999</v>
      </c>
      <c r="AA37" s="27">
        <v>17.527039999999996</v>
      </c>
      <c r="AB37" s="27">
        <v>18.087039999999998</v>
      </c>
      <c r="AC37" s="27">
        <v>14.344959999999991</v>
      </c>
      <c r="AD37" s="27">
        <v>12.452223999999994</v>
      </c>
      <c r="AE37" s="27">
        <v>12.052223999999992</v>
      </c>
      <c r="AF37" s="27">
        <v>16.638079999999999</v>
      </c>
      <c r="AG37" s="27">
        <v>16.210559999999997</v>
      </c>
      <c r="AH37" s="27">
        <v>13.345791999999994</v>
      </c>
      <c r="AI37" s="27">
        <v>14.929535999999997</v>
      </c>
      <c r="AJ37" s="27">
        <v>13.745791999999994</v>
      </c>
      <c r="AK37" s="27">
        <v>18.484479999999998</v>
      </c>
      <c r="AL37" s="27">
        <v>19.30688</v>
      </c>
      <c r="AM37" s="27">
        <v>16.452480000000001</v>
      </c>
      <c r="AN37" s="27">
        <v>12.337151999999996</v>
      </c>
      <c r="AO37" s="27">
        <v>20.939519999999998</v>
      </c>
      <c r="AP37" s="27">
        <v>16.695295999999999</v>
      </c>
      <c r="AQ37" s="27">
        <v>17.719296</v>
      </c>
      <c r="AR37" s="27">
        <v>13.0955776</v>
      </c>
      <c r="AS37" s="27">
        <v>9.6973465599999997</v>
      </c>
      <c r="AT37" s="27">
        <v>9.6973465599999997</v>
      </c>
      <c r="AU37" s="27">
        <v>7.018407936</v>
      </c>
    </row>
    <row r="38" spans="6:47" x14ac:dyDescent="0.25">
      <c r="F38" s="27">
        <v>13.731327999999992</v>
      </c>
      <c r="G38" s="27">
        <v>13.71852799999999</v>
      </c>
      <c r="H38" s="27">
        <v>14.10690559999999</v>
      </c>
      <c r="I38" s="27">
        <v>13.43628799999999</v>
      </c>
      <c r="J38" s="27">
        <v>13.90197759999999</v>
      </c>
      <c r="K38" s="27">
        <v>11.757967359999997</v>
      </c>
      <c r="L38" s="27">
        <v>13.07778559999999</v>
      </c>
      <c r="M38" s="27">
        <v>12.102671359999993</v>
      </c>
      <c r="N38" s="27">
        <v>12.292495359999993</v>
      </c>
      <c r="O38" s="27">
        <v>12.744985599999991</v>
      </c>
      <c r="P38" s="27">
        <v>11.397529599999999</v>
      </c>
      <c r="Q38" s="27">
        <v>14.675071999999993</v>
      </c>
      <c r="R38" s="27">
        <v>10.005043200000001</v>
      </c>
      <c r="S38" s="27">
        <v>14.411775999999991</v>
      </c>
      <c r="T38" s="27">
        <v>14.779135999999992</v>
      </c>
      <c r="U38" s="27">
        <v>15.362559999999988</v>
      </c>
      <c r="V38" s="27">
        <v>18.937599999999996</v>
      </c>
      <c r="W38" s="27">
        <v>16.167679999999994</v>
      </c>
      <c r="X38" s="27">
        <v>15.772159999999989</v>
      </c>
      <c r="Y38" s="27">
        <v>18.104319999999998</v>
      </c>
      <c r="Z38" s="27">
        <v>17.549440000000001</v>
      </c>
      <c r="AA38" s="27">
        <v>16.361599999999992</v>
      </c>
      <c r="AB38" s="27">
        <v>16.921599999999998</v>
      </c>
      <c r="AC38" s="27">
        <v>13.645695999999992</v>
      </c>
      <c r="AD38" s="27">
        <v>11.752959999999993</v>
      </c>
      <c r="AE38" s="27">
        <v>11.352959999999992</v>
      </c>
      <c r="AF38" s="27">
        <v>17.252479999999998</v>
      </c>
      <c r="AG38" s="27">
        <v>16.037759999999999</v>
      </c>
      <c r="AH38" s="27">
        <v>13.242111999999992</v>
      </c>
      <c r="AI38" s="27">
        <v>14.635775999999993</v>
      </c>
      <c r="AJ38" s="27">
        <v>13.642111999999992</v>
      </c>
      <c r="AK38" s="27">
        <v>18.084479999999999</v>
      </c>
      <c r="AL38" s="27">
        <v>18.248960000000004</v>
      </c>
      <c r="AM38" s="27">
        <v>15.848831999999996</v>
      </c>
      <c r="AN38" s="27">
        <v>11.993625599999996</v>
      </c>
      <c r="AO38" s="27">
        <v>18.945279999999997</v>
      </c>
      <c r="AP38" s="27">
        <v>17.719296</v>
      </c>
      <c r="AQ38" s="27">
        <v>14.422527999999998</v>
      </c>
      <c r="AR38" s="27">
        <v>15.462527999999999</v>
      </c>
      <c r="AS38" s="27">
        <v>11.117516800000001</v>
      </c>
      <c r="AT38" s="27">
        <v>11.117516800000001</v>
      </c>
      <c r="AU38" s="27">
        <v>7.8705100799999999</v>
      </c>
    </row>
    <row r="39" spans="6:47" x14ac:dyDescent="0.25">
      <c r="F39" s="27">
        <v>13.644927999999993</v>
      </c>
      <c r="G39" s="27">
        <v>13.66668799999999</v>
      </c>
      <c r="H39" s="27">
        <v>14.075801599999991</v>
      </c>
      <c r="I39" s="27">
        <v>13.38444799999999</v>
      </c>
      <c r="J39" s="27">
        <v>13.870873599999991</v>
      </c>
      <c r="K39" s="27">
        <v>11.739304959999997</v>
      </c>
      <c r="L39" s="27">
        <v>13.046681599999991</v>
      </c>
      <c r="M39" s="27">
        <v>12.084008959999993</v>
      </c>
      <c r="N39" s="27">
        <v>12.273832959999993</v>
      </c>
      <c r="O39" s="27">
        <v>12.713881599999992</v>
      </c>
      <c r="P39" s="27">
        <v>11.366425599999999</v>
      </c>
      <c r="Q39" s="27">
        <v>14.623231999999993</v>
      </c>
      <c r="R39" s="27">
        <v>9.973939200000002</v>
      </c>
      <c r="S39" s="27">
        <v>14.35993599999999</v>
      </c>
      <c r="T39" s="27">
        <v>14.727295999999992</v>
      </c>
      <c r="U39" s="27">
        <v>15.276159999999988</v>
      </c>
      <c r="V39" s="27">
        <v>18.793599999999998</v>
      </c>
      <c r="W39" s="27">
        <v>16.081279999999992</v>
      </c>
      <c r="X39" s="27">
        <v>15.685759999999989</v>
      </c>
      <c r="Y39" s="27">
        <v>17.960319999999999</v>
      </c>
      <c r="Z39" s="27">
        <v>17.463039999999999</v>
      </c>
      <c r="AA39" s="27">
        <v>16.21759999999999</v>
      </c>
      <c r="AB39" s="27">
        <v>16.777599999999996</v>
      </c>
      <c r="AC39" s="27">
        <v>13.559295999999993</v>
      </c>
      <c r="AD39" s="27">
        <v>11.666559999999993</v>
      </c>
      <c r="AE39" s="27">
        <v>11.266559999999993</v>
      </c>
      <c r="AF39" s="27">
        <v>17.012479999999996</v>
      </c>
      <c r="AG39" s="27">
        <v>15.797759999999997</v>
      </c>
      <c r="AH39" s="27">
        <v>13.098111999999992</v>
      </c>
      <c r="AI39" s="27">
        <v>14.491775999999993</v>
      </c>
      <c r="AJ39" s="27">
        <v>13.498111999999992</v>
      </c>
      <c r="AK39" s="27">
        <v>17.844479999999997</v>
      </c>
      <c r="AL39" s="27">
        <v>17.848960000000002</v>
      </c>
      <c r="AM39" s="27">
        <v>15.608831999999996</v>
      </c>
      <c r="AN39" s="27">
        <v>11.849625599999996</v>
      </c>
      <c r="AO39" s="27">
        <v>18.705279999999995</v>
      </c>
      <c r="AP39" s="27">
        <v>17.319295999999998</v>
      </c>
      <c r="AQ39" s="27">
        <v>15.462527999999999</v>
      </c>
      <c r="AR39" s="27">
        <v>11.117516799999999</v>
      </c>
      <c r="AS39" s="27">
        <v>11.517516799999999</v>
      </c>
      <c r="AT39" s="27">
        <v>11.517516799999999</v>
      </c>
      <c r="AU39" s="27">
        <v>8.110510080000001</v>
      </c>
    </row>
    <row r="40" spans="6:47" x14ac:dyDescent="0.25">
      <c r="F40" s="27">
        <v>13.541247999999992</v>
      </c>
      <c r="G40" s="27">
        <v>13.604479999999992</v>
      </c>
      <c r="H40" s="27">
        <v>14.038476799999991</v>
      </c>
      <c r="I40" s="27">
        <v>13.322239999999992</v>
      </c>
      <c r="J40" s="27">
        <v>13.83354879999999</v>
      </c>
      <c r="K40" s="27">
        <v>11.716910079999996</v>
      </c>
      <c r="L40" s="27">
        <v>13.00935679999999</v>
      </c>
      <c r="M40" s="27">
        <v>12.061614079999993</v>
      </c>
      <c r="N40" s="27">
        <v>12.251438079999993</v>
      </c>
      <c r="O40" s="27">
        <v>12.676556799999991</v>
      </c>
      <c r="P40" s="27">
        <v>11.329100799999999</v>
      </c>
      <c r="Q40" s="27">
        <v>14.561023999999994</v>
      </c>
      <c r="R40" s="27">
        <v>9.9366144000000016</v>
      </c>
      <c r="S40" s="27">
        <v>14.297727999999992</v>
      </c>
      <c r="T40" s="27">
        <v>14.665087999999994</v>
      </c>
      <c r="U40" s="27">
        <v>15.172479999999988</v>
      </c>
      <c r="V40" s="27">
        <v>18.620799999999996</v>
      </c>
      <c r="W40" s="27">
        <v>15.97759999999999</v>
      </c>
      <c r="X40" s="27">
        <v>15.582079999999989</v>
      </c>
      <c r="Y40" s="27">
        <v>17.787519999999997</v>
      </c>
      <c r="Z40" s="27">
        <v>17.359360000000002</v>
      </c>
      <c r="AA40" s="27">
        <v>16.044799999999992</v>
      </c>
      <c r="AB40" s="27">
        <v>16.604799999999994</v>
      </c>
      <c r="AC40" s="27">
        <v>13.455615999999992</v>
      </c>
      <c r="AD40" s="27">
        <v>11.562879999999993</v>
      </c>
      <c r="AE40" s="27">
        <v>11.162879999999992</v>
      </c>
      <c r="AF40" s="27">
        <v>16.72448</v>
      </c>
      <c r="AG40" s="27">
        <v>15.509759999999996</v>
      </c>
      <c r="AH40" s="27">
        <v>12.925311999999993</v>
      </c>
      <c r="AI40" s="27">
        <v>14.318975999999994</v>
      </c>
      <c r="AJ40" s="27">
        <v>13.325311999999993</v>
      </c>
      <c r="AK40" s="27">
        <v>17.556480000000001</v>
      </c>
      <c r="AL40" s="27">
        <v>17.368959999999998</v>
      </c>
      <c r="AM40" s="27">
        <v>15.320831999999996</v>
      </c>
      <c r="AN40" s="27">
        <v>11.676825599999997</v>
      </c>
      <c r="AO40" s="27">
        <v>18.417279999999998</v>
      </c>
      <c r="AP40" s="27">
        <v>16.839295999999997</v>
      </c>
      <c r="AQ40" s="27">
        <v>14.662527999999998</v>
      </c>
      <c r="AR40" s="27">
        <v>11.517516799999999</v>
      </c>
      <c r="AS40" s="27">
        <v>8.5105100799999995</v>
      </c>
      <c r="AT40" s="27">
        <v>8.5105100799999995</v>
      </c>
      <c r="AU40" s="27">
        <v>8.5105100799999995</v>
      </c>
    </row>
    <row r="41" spans="6:47" x14ac:dyDescent="0.25">
      <c r="F41" s="27">
        <v>13.541247999999992</v>
      </c>
      <c r="G41" s="27">
        <v>13.604479999999992</v>
      </c>
      <c r="H41" s="27">
        <v>14.038476799999991</v>
      </c>
      <c r="I41" s="27">
        <v>13.322239999999992</v>
      </c>
      <c r="J41" s="27">
        <v>13.83354879999999</v>
      </c>
      <c r="K41" s="27">
        <v>11.716910079999996</v>
      </c>
      <c r="L41" s="27">
        <v>13.00935679999999</v>
      </c>
      <c r="M41" s="27">
        <v>12.061614079999993</v>
      </c>
      <c r="N41" s="27">
        <v>12.251438079999993</v>
      </c>
      <c r="O41" s="27">
        <v>12.676556799999991</v>
      </c>
      <c r="P41" s="27">
        <v>11.329100799999999</v>
      </c>
      <c r="Q41" s="27">
        <v>14.561023999999994</v>
      </c>
      <c r="R41" s="27">
        <v>9.9366144000000016</v>
      </c>
      <c r="S41" s="27">
        <v>14.297727999999992</v>
      </c>
      <c r="T41" s="27">
        <v>14.665087999999994</v>
      </c>
      <c r="U41" s="27">
        <v>15.172479999999988</v>
      </c>
      <c r="V41" s="27">
        <v>18.620799999999996</v>
      </c>
      <c r="W41" s="27">
        <v>15.97759999999999</v>
      </c>
      <c r="X41" s="27">
        <v>15.582079999999989</v>
      </c>
      <c r="Y41" s="27">
        <v>17.787519999999997</v>
      </c>
      <c r="Z41" s="27">
        <v>17.359360000000002</v>
      </c>
      <c r="AA41" s="27">
        <v>16.044799999999992</v>
      </c>
      <c r="AB41" s="27">
        <v>16.604799999999994</v>
      </c>
      <c r="AC41" s="27">
        <v>13.455615999999992</v>
      </c>
      <c r="AD41" s="27">
        <v>11.562879999999993</v>
      </c>
      <c r="AE41" s="27">
        <v>11.162879999999992</v>
      </c>
      <c r="AF41" s="27">
        <v>16.72448</v>
      </c>
      <c r="AG41" s="27">
        <v>15.509759999999996</v>
      </c>
      <c r="AH41" s="27">
        <v>12.925311999999993</v>
      </c>
      <c r="AI41" s="27">
        <v>14.318975999999994</v>
      </c>
      <c r="AJ41" s="27">
        <v>13.325311999999993</v>
      </c>
      <c r="AK41" s="27">
        <v>17.556480000000001</v>
      </c>
      <c r="AL41" s="27">
        <v>17.368959999999998</v>
      </c>
      <c r="AM41" s="27">
        <v>15.320831999999996</v>
      </c>
      <c r="AN41" s="27">
        <v>11.676825599999997</v>
      </c>
      <c r="AO41" s="27">
        <v>18.417279999999998</v>
      </c>
      <c r="AP41" s="27">
        <v>16.839295999999997</v>
      </c>
      <c r="AQ41" s="27">
        <v>14.662527999999998</v>
      </c>
      <c r="AR41" s="27">
        <v>11.517516799999999</v>
      </c>
      <c r="AS41" s="27">
        <v>8.5105100799999995</v>
      </c>
      <c r="AT41" s="27">
        <v>8.5105100799999995</v>
      </c>
      <c r="AU41" s="27">
        <v>8.5105100799999995</v>
      </c>
    </row>
    <row r="42" spans="6:47" x14ac:dyDescent="0.25">
      <c r="F42" s="27">
        <v>13.510143999999993</v>
      </c>
      <c r="G42" s="27">
        <v>13.585817599999992</v>
      </c>
      <c r="H42" s="27">
        <v>14.027279359999991</v>
      </c>
      <c r="I42" s="27">
        <v>13.303577599999992</v>
      </c>
      <c r="J42" s="27">
        <v>13.82235135999999</v>
      </c>
      <c r="K42" s="27">
        <v>11.710191615999996</v>
      </c>
      <c r="L42" s="27">
        <v>12.99815935999999</v>
      </c>
      <c r="M42" s="27">
        <v>12.054895615999992</v>
      </c>
      <c r="N42" s="27">
        <v>12.244719615999992</v>
      </c>
      <c r="O42" s="27">
        <v>12.665359359999991</v>
      </c>
      <c r="P42" s="27">
        <v>11.317903359999999</v>
      </c>
      <c r="Q42" s="27">
        <v>14.542361599999994</v>
      </c>
      <c r="R42" s="27">
        <v>9.9254169600000015</v>
      </c>
      <c r="S42" s="27">
        <v>14.279065599999992</v>
      </c>
      <c r="T42" s="27">
        <v>14.646425599999993</v>
      </c>
      <c r="U42" s="27">
        <v>15.141375999999989</v>
      </c>
      <c r="V42" s="27">
        <v>18.568959999999997</v>
      </c>
      <c r="W42" s="27">
        <v>15.946495999999991</v>
      </c>
      <c r="X42" s="27">
        <v>15.55097599999999</v>
      </c>
      <c r="Y42" s="27">
        <v>17.735679999999999</v>
      </c>
      <c r="Z42" s="27">
        <v>17.328256</v>
      </c>
      <c r="AA42" s="27">
        <v>15.992959999999991</v>
      </c>
      <c r="AB42" s="27">
        <v>16.552959999999995</v>
      </c>
      <c r="AC42" s="27">
        <v>13.424511999999993</v>
      </c>
      <c r="AD42" s="27">
        <v>11.531775999999994</v>
      </c>
      <c r="AE42" s="27">
        <v>11.131775999999993</v>
      </c>
      <c r="AF42" s="27">
        <v>16.638079999999999</v>
      </c>
      <c r="AG42" s="27">
        <v>15.423359999999997</v>
      </c>
      <c r="AH42" s="27">
        <v>12.873471999999992</v>
      </c>
      <c r="AI42" s="27">
        <v>14.267135999999994</v>
      </c>
      <c r="AJ42" s="27">
        <v>13.273471999999993</v>
      </c>
      <c r="AK42" s="27">
        <v>17.470079999999999</v>
      </c>
      <c r="AL42" s="27">
        <v>17.224959999999999</v>
      </c>
      <c r="AM42" s="27">
        <v>15.234431999999996</v>
      </c>
      <c r="AN42" s="27">
        <v>11.624985599999997</v>
      </c>
      <c r="AO42" s="27">
        <v>18.330879999999997</v>
      </c>
      <c r="AP42" s="27">
        <v>16.695295999999999</v>
      </c>
      <c r="AQ42" s="27">
        <v>14.422527999999998</v>
      </c>
      <c r="AR42" s="27">
        <v>11.117516799999999</v>
      </c>
      <c r="AS42" s="27">
        <v>8.5105100799999995</v>
      </c>
      <c r="AT42" s="27">
        <v>8.5105100799999995</v>
      </c>
      <c r="AU42" s="27">
        <v>6.3063060479999997</v>
      </c>
    </row>
    <row r="44" spans="6:47" x14ac:dyDescent="0.25">
      <c r="F44" s="27">
        <f t="shared" ref="F44:AT44" si="0">SUM(F1:F42)/42</f>
        <v>13.945593904761893</v>
      </c>
      <c r="G44" s="27">
        <f t="shared" si="0"/>
        <v>14.001373866666659</v>
      </c>
      <c r="H44" s="27">
        <f t="shared" si="0"/>
        <v>14.492410270476174</v>
      </c>
      <c r="I44" s="27">
        <f t="shared" si="0"/>
        <v>13.687261866666658</v>
      </c>
      <c r="J44" s="27">
        <f t="shared" si="0"/>
        <v>14.240440807619033</v>
      </c>
      <c r="K44" s="27">
        <f t="shared" si="0"/>
        <v>12.149552810666655</v>
      </c>
      <c r="L44" s="27">
        <f t="shared" si="0"/>
        <v>13.364838278095229</v>
      </c>
      <c r="M44" s="27">
        <f t="shared" si="0"/>
        <v>12.462489234285705</v>
      </c>
      <c r="N44" s="27">
        <f t="shared" si="0"/>
        <v>12.649574911999991</v>
      </c>
      <c r="O44" s="27">
        <f t="shared" si="0"/>
        <v>13.074930956190466</v>
      </c>
      <c r="P44" s="27">
        <f t="shared" si="0"/>
        <v>11.700850956190473</v>
      </c>
      <c r="Q44" s="27">
        <f t="shared" si="0"/>
        <v>14.974087314285709</v>
      </c>
      <c r="R44" s="27">
        <f t="shared" si="0"/>
        <v>10.327534080000001</v>
      </c>
      <c r="S44" s="27">
        <f t="shared" si="0"/>
        <v>14.773443657142845</v>
      </c>
      <c r="T44" s="27">
        <f t="shared" si="0"/>
        <v>15.153528685714283</v>
      </c>
      <c r="U44" s="27">
        <f t="shared" si="0"/>
        <v>15.644949333333324</v>
      </c>
      <c r="V44" s="27">
        <f t="shared" si="0"/>
        <v>19.070201904761902</v>
      </c>
      <c r="W44" s="27">
        <f t="shared" si="0"/>
        <v>16.4082438095238</v>
      </c>
      <c r="X44" s="27">
        <f t="shared" si="0"/>
        <v>16.085720380952377</v>
      </c>
      <c r="Y44" s="27">
        <f t="shared" si="0"/>
        <v>18.26144</v>
      </c>
      <c r="Z44" s="27">
        <f t="shared" si="0"/>
        <v>17.813062095238095</v>
      </c>
      <c r="AA44" s="27">
        <f t="shared" si="0"/>
        <v>16.494765714285705</v>
      </c>
      <c r="AB44" s="27">
        <f t="shared" si="0"/>
        <v>17.002179047619041</v>
      </c>
      <c r="AC44" s="27">
        <f t="shared" si="0"/>
        <v>13.867513904761896</v>
      </c>
      <c r="AD44" s="27">
        <f t="shared" si="0"/>
        <v>11.975448380952372</v>
      </c>
      <c r="AE44" s="27">
        <f t="shared" si="0"/>
        <v>11.539907047619041</v>
      </c>
      <c r="AF44" s="27">
        <f t="shared" si="0"/>
        <v>17.134445714285707</v>
      </c>
      <c r="AG44" s="27">
        <f t="shared" si="0"/>
        <v>15.921097142857144</v>
      </c>
      <c r="AH44" s="27">
        <f t="shared" si="0"/>
        <v>13.301080380952376</v>
      </c>
      <c r="AI44" s="27">
        <f t="shared" si="0"/>
        <v>14.729371428571421</v>
      </c>
      <c r="AJ44" s="27">
        <f t="shared" si="0"/>
        <v>13.728722285714273</v>
      </c>
      <c r="AK44" s="27">
        <f t="shared" si="0"/>
        <v>17.964007619047617</v>
      </c>
      <c r="AL44" s="27">
        <f t="shared" si="0"/>
        <v>17.731535238095244</v>
      </c>
      <c r="AM44" s="27">
        <f t="shared" si="0"/>
        <v>15.725083428571425</v>
      </c>
      <c r="AN44" s="27">
        <f t="shared" si="0"/>
        <v>12.055577599999996</v>
      </c>
      <c r="AO44" s="27">
        <f t="shared" si="0"/>
        <v>18.851291428571422</v>
      </c>
      <c r="AP44" s="27">
        <f t="shared" si="0"/>
        <v>17.169340952380949</v>
      </c>
      <c r="AQ44" s="27">
        <f t="shared" si="0"/>
        <v>14.888771047619043</v>
      </c>
      <c r="AR44" s="27">
        <f t="shared" si="0"/>
        <v>11.498048609523806</v>
      </c>
      <c r="AS44" s="27">
        <f t="shared" si="0"/>
        <v>8.7989959923809558</v>
      </c>
      <c r="AT44" s="27">
        <f t="shared" si="0"/>
        <v>8.7989959923809558</v>
      </c>
      <c r="AU44" s="27">
        <f>SUM(AU1:AU42)/42</f>
        <v>6.5843596921904775</v>
      </c>
    </row>
    <row r="45" spans="6:47" x14ac:dyDescent="0.25">
      <c r="F45" s="27">
        <v>8.5060863999999992</v>
      </c>
      <c r="G45" s="27">
        <v>8.5514905599999977</v>
      </c>
      <c r="H45" s="27">
        <v>8.8163676159999973</v>
      </c>
      <c r="I45" s="27">
        <v>8.3821465599999989</v>
      </c>
      <c r="J45" s="27">
        <v>8.6934108159999983</v>
      </c>
      <c r="K45" s="27">
        <v>7.4261149695999951</v>
      </c>
      <c r="L45" s="27">
        <v>8.1988956159999962</v>
      </c>
      <c r="M45" s="27">
        <v>7.6329373695999934</v>
      </c>
      <c r="N45" s="27">
        <v>7.7468317695999938</v>
      </c>
      <c r="O45" s="27">
        <v>7.9992156159999963</v>
      </c>
      <c r="P45" s="27">
        <v>7.1907420159999988</v>
      </c>
      <c r="Q45" s="27">
        <v>9.1254169600000044</v>
      </c>
      <c r="R45" s="27">
        <v>6.3552501760000002</v>
      </c>
      <c r="S45" s="27">
        <v>8.9674393599999984</v>
      </c>
      <c r="T45" s="27">
        <v>9.1878553599999986</v>
      </c>
      <c r="U45" s="27">
        <v>9.4848255999999989</v>
      </c>
      <c r="V45" s="27">
        <v>11.541375999999994</v>
      </c>
      <c r="W45" s="27">
        <v>9.967897599999997</v>
      </c>
      <c r="X45" s="27">
        <v>9.7305855999999977</v>
      </c>
      <c r="Y45" s="27">
        <v>11.041407999999995</v>
      </c>
      <c r="Z45" s="27">
        <v>10.796953599999997</v>
      </c>
      <c r="AA45" s="27">
        <v>9.9957759999999958</v>
      </c>
      <c r="AB45" s="27">
        <v>10.331775999999994</v>
      </c>
      <c r="AC45" s="27">
        <v>8.4547071999999979</v>
      </c>
      <c r="AD45" s="27">
        <v>7.3190655999999965</v>
      </c>
      <c r="AE45" s="27">
        <v>7.0790655999999963</v>
      </c>
      <c r="AF45" s="27">
        <v>10.382847999999996</v>
      </c>
      <c r="AG45" s="27">
        <v>9.6540159999999968</v>
      </c>
      <c r="AH45" s="27">
        <v>8.1240832000000012</v>
      </c>
      <c r="AI45" s="27">
        <v>8.9602815999999983</v>
      </c>
      <c r="AJ45" s="27">
        <v>8.3640831999999996</v>
      </c>
      <c r="AK45" s="27">
        <v>10.882047999999998</v>
      </c>
      <c r="AL45" s="27">
        <v>10.734975999999996</v>
      </c>
      <c r="AM45" s="27">
        <v>9.5406591999999968</v>
      </c>
      <c r="AN45" s="27">
        <v>7.3749913600000001</v>
      </c>
      <c r="AO45" s="27">
        <v>11.398527999999997</v>
      </c>
      <c r="AP45" s="27">
        <v>10.417177599999997</v>
      </c>
      <c r="AQ45" s="27">
        <v>9.0535167999999988</v>
      </c>
      <c r="AR45" s="27">
        <v>7.07051008</v>
      </c>
      <c r="AS45" s="27">
        <v>5.506306047999999</v>
      </c>
      <c r="AT45" s="27">
        <v>5.5063060479999999</v>
      </c>
      <c r="AU45" s="27">
        <v>4.1837836288000005</v>
      </c>
    </row>
    <row r="46" spans="6:47" x14ac:dyDescent="0.25">
      <c r="F46" s="27">
        <f>F44-F49</f>
        <v>0.43544990476189938</v>
      </c>
      <c r="G46" s="27">
        <f t="shared" ref="G46:AU46" si="1">G44-G49</f>
        <v>0.4155562666666679</v>
      </c>
      <c r="H46" s="27">
        <f t="shared" si="1"/>
        <v>0.4651309104761836</v>
      </c>
      <c r="I46" s="27">
        <f t="shared" si="1"/>
        <v>0.38368426666666622</v>
      </c>
      <c r="J46" s="27">
        <f t="shared" si="1"/>
        <v>0.41808944761904243</v>
      </c>
      <c r="K46" s="27">
        <f t="shared" si="1"/>
        <v>0.43936119466665957</v>
      </c>
      <c r="L46" s="27">
        <f t="shared" si="1"/>
        <v>0.36667891809523923</v>
      </c>
      <c r="M46" s="27">
        <f t="shared" si="1"/>
        <v>0.40759361828571272</v>
      </c>
      <c r="N46" s="27">
        <f t="shared" si="1"/>
        <v>0.40485529599999914</v>
      </c>
      <c r="O46" s="27">
        <f t="shared" si="1"/>
        <v>0.40957159619047445</v>
      </c>
      <c r="P46" s="27">
        <f t="shared" si="1"/>
        <v>0.38294759619047447</v>
      </c>
      <c r="Q46" s="27">
        <f t="shared" si="1"/>
        <v>0.43172571428571516</v>
      </c>
      <c r="R46" s="27">
        <f t="shared" si="1"/>
        <v>0.40211711999999977</v>
      </c>
      <c r="S46" s="27">
        <f t="shared" si="1"/>
        <v>0.49437805714285332</v>
      </c>
      <c r="T46" s="27">
        <f t="shared" si="1"/>
        <v>0.50710308571428975</v>
      </c>
      <c r="U46" s="27">
        <f t="shared" si="1"/>
        <v>0.50357333333333543</v>
      </c>
      <c r="V46" s="27">
        <f t="shared" si="1"/>
        <v>0.50124190476190478</v>
      </c>
      <c r="W46" s="27">
        <f t="shared" si="1"/>
        <v>0.46174780952380878</v>
      </c>
      <c r="X46" s="27">
        <f t="shared" si="1"/>
        <v>0.53474438095238774</v>
      </c>
      <c r="Y46" s="27">
        <f t="shared" si="1"/>
        <v>0.52576000000000178</v>
      </c>
      <c r="Z46" s="27">
        <f t="shared" si="1"/>
        <v>0.48480609523809548</v>
      </c>
      <c r="AA46" s="27">
        <f t="shared" si="1"/>
        <v>0.50180571428571419</v>
      </c>
      <c r="AB46" s="27">
        <f t="shared" si="1"/>
        <v>0.44921904761904585</v>
      </c>
      <c r="AC46" s="27">
        <f t="shared" si="1"/>
        <v>0.44300190476190338</v>
      </c>
      <c r="AD46" s="27">
        <f t="shared" si="1"/>
        <v>0.44367238095237838</v>
      </c>
      <c r="AE46" s="27">
        <f t="shared" si="1"/>
        <v>0.40813104761904739</v>
      </c>
      <c r="AF46" s="27">
        <f t="shared" si="1"/>
        <v>0.49636571428570875</v>
      </c>
      <c r="AG46" s="27">
        <f t="shared" si="1"/>
        <v>0.49773714285714732</v>
      </c>
      <c r="AH46" s="27">
        <f t="shared" si="1"/>
        <v>0.42760838095238363</v>
      </c>
      <c r="AI46" s="27">
        <f t="shared" si="1"/>
        <v>0.46223542857142697</v>
      </c>
      <c r="AJ46" s="27">
        <f t="shared" si="1"/>
        <v>0.45525028571428017</v>
      </c>
      <c r="AK46" s="27">
        <f t="shared" si="1"/>
        <v>0.49392761904761784</v>
      </c>
      <c r="AL46" s="27">
        <f t="shared" si="1"/>
        <v>0.50657523809524463</v>
      </c>
      <c r="AM46" s="27">
        <f t="shared" si="1"/>
        <v>0.49065142857142874</v>
      </c>
      <c r="AN46" s="27">
        <f t="shared" si="1"/>
        <v>0.43059199999999898</v>
      </c>
      <c r="AO46" s="27">
        <f t="shared" si="1"/>
        <v>0.52041142857142475</v>
      </c>
      <c r="AP46" s="27">
        <f t="shared" si="1"/>
        <v>0.47404495238095024</v>
      </c>
      <c r="AQ46" s="27">
        <f t="shared" si="1"/>
        <v>0.46624304761904511</v>
      </c>
      <c r="AR46" s="27">
        <f t="shared" si="1"/>
        <v>0.3805318095238075</v>
      </c>
      <c r="AS46" s="27">
        <f t="shared" si="1"/>
        <v>0.28848591238095622</v>
      </c>
      <c r="AT46" s="27">
        <f t="shared" si="1"/>
        <v>0.28848591238095622</v>
      </c>
      <c r="AU46" s="27">
        <f t="shared" si="1"/>
        <v>0.27805364419047773</v>
      </c>
    </row>
    <row r="47" spans="6:47" x14ac:dyDescent="0.25">
      <c r="F47">
        <f>--(F46=MAX($F$46:$AU$46))</f>
        <v>0</v>
      </c>
      <c r="G47">
        <f t="shared" ref="G47:AU47" si="2">--(G46=MAX($F$46:$AU$46))</f>
        <v>0</v>
      </c>
      <c r="H47">
        <f t="shared" si="2"/>
        <v>0</v>
      </c>
      <c r="I47">
        <f t="shared" si="2"/>
        <v>0</v>
      </c>
      <c r="J47">
        <f t="shared" si="2"/>
        <v>0</v>
      </c>
      <c r="K47">
        <f t="shared" si="2"/>
        <v>0</v>
      </c>
      <c r="L47">
        <f t="shared" si="2"/>
        <v>0</v>
      </c>
      <c r="M47">
        <f t="shared" si="2"/>
        <v>0</v>
      </c>
      <c r="N47">
        <f t="shared" si="2"/>
        <v>0</v>
      </c>
      <c r="O47">
        <f t="shared" si="2"/>
        <v>0</v>
      </c>
      <c r="P47">
        <f t="shared" si="2"/>
        <v>0</v>
      </c>
      <c r="Q47">
        <f t="shared" si="2"/>
        <v>0</v>
      </c>
      <c r="R47">
        <f t="shared" si="2"/>
        <v>0</v>
      </c>
      <c r="S47">
        <f t="shared" si="2"/>
        <v>0</v>
      </c>
      <c r="T47">
        <f t="shared" si="2"/>
        <v>0</v>
      </c>
      <c r="U47">
        <f t="shared" si="2"/>
        <v>0</v>
      </c>
      <c r="V47">
        <f t="shared" si="2"/>
        <v>0</v>
      </c>
      <c r="W47">
        <f t="shared" si="2"/>
        <v>0</v>
      </c>
      <c r="X47">
        <f t="shared" si="2"/>
        <v>1</v>
      </c>
      <c r="Y47">
        <f t="shared" si="2"/>
        <v>0</v>
      </c>
      <c r="Z47">
        <f t="shared" si="2"/>
        <v>0</v>
      </c>
      <c r="AA47">
        <f t="shared" si="2"/>
        <v>0</v>
      </c>
      <c r="AB47">
        <f t="shared" si="2"/>
        <v>0</v>
      </c>
      <c r="AC47">
        <f t="shared" si="2"/>
        <v>0</v>
      </c>
      <c r="AD47">
        <f t="shared" si="2"/>
        <v>0</v>
      </c>
      <c r="AE47">
        <f t="shared" si="2"/>
        <v>0</v>
      </c>
      <c r="AF47">
        <f t="shared" si="2"/>
        <v>0</v>
      </c>
      <c r="AG47">
        <f t="shared" si="2"/>
        <v>0</v>
      </c>
      <c r="AH47">
        <f t="shared" si="2"/>
        <v>0</v>
      </c>
      <c r="AI47">
        <f t="shared" si="2"/>
        <v>0</v>
      </c>
      <c r="AJ47">
        <f t="shared" si="2"/>
        <v>0</v>
      </c>
      <c r="AK47">
        <f t="shared" si="2"/>
        <v>0</v>
      </c>
      <c r="AL47">
        <f t="shared" si="2"/>
        <v>0</v>
      </c>
      <c r="AM47">
        <f t="shared" si="2"/>
        <v>0</v>
      </c>
      <c r="AN47">
        <f t="shared" si="2"/>
        <v>0</v>
      </c>
      <c r="AO47">
        <f t="shared" si="2"/>
        <v>0</v>
      </c>
      <c r="AP47">
        <f t="shared" si="2"/>
        <v>0</v>
      </c>
      <c r="AQ47">
        <f t="shared" si="2"/>
        <v>0</v>
      </c>
      <c r="AR47">
        <f t="shared" si="2"/>
        <v>0</v>
      </c>
      <c r="AS47">
        <f t="shared" si="2"/>
        <v>0</v>
      </c>
      <c r="AT47">
        <f t="shared" si="2"/>
        <v>0</v>
      </c>
      <c r="AU47">
        <f t="shared" si="2"/>
        <v>0</v>
      </c>
    </row>
    <row r="49" spans="6:47" x14ac:dyDescent="0.25">
      <c r="F49" s="27">
        <v>13.510143999999993</v>
      </c>
      <c r="G49" s="27">
        <v>13.585817599999992</v>
      </c>
      <c r="H49" s="27">
        <v>14.027279359999991</v>
      </c>
      <c r="I49" s="27">
        <v>13.303577599999992</v>
      </c>
      <c r="J49" s="27">
        <v>13.82235135999999</v>
      </c>
      <c r="K49" s="27">
        <v>11.710191615999996</v>
      </c>
      <c r="L49" s="27">
        <v>12.99815935999999</v>
      </c>
      <c r="M49" s="27">
        <v>12.054895615999992</v>
      </c>
      <c r="N49" s="27">
        <v>12.244719615999992</v>
      </c>
      <c r="O49" s="27">
        <v>12.665359359999991</v>
      </c>
      <c r="P49" s="27">
        <v>11.317903359999999</v>
      </c>
      <c r="Q49" s="27">
        <v>14.542361599999994</v>
      </c>
      <c r="R49" s="27">
        <v>9.9254169600000015</v>
      </c>
      <c r="S49" s="27">
        <v>14.279065599999992</v>
      </c>
      <c r="T49" s="27">
        <v>14.646425599999993</v>
      </c>
      <c r="U49" s="27">
        <v>15.141375999999989</v>
      </c>
      <c r="V49" s="27">
        <v>18.568959999999997</v>
      </c>
      <c r="W49" s="27">
        <v>15.946495999999991</v>
      </c>
      <c r="X49" s="27">
        <v>15.55097599999999</v>
      </c>
      <c r="Y49" s="27">
        <v>17.735679999999999</v>
      </c>
      <c r="Z49" s="27">
        <v>17.328256</v>
      </c>
      <c r="AA49" s="27">
        <v>15.992959999999991</v>
      </c>
      <c r="AB49" s="27">
        <v>16.552959999999995</v>
      </c>
      <c r="AC49" s="27">
        <v>13.424511999999993</v>
      </c>
      <c r="AD49" s="27">
        <v>11.531775999999994</v>
      </c>
      <c r="AE49" s="27">
        <v>11.131775999999993</v>
      </c>
      <c r="AF49" s="27">
        <v>16.638079999999999</v>
      </c>
      <c r="AG49" s="27">
        <v>15.423359999999997</v>
      </c>
      <c r="AH49" s="27">
        <v>12.873471999999992</v>
      </c>
      <c r="AI49" s="27">
        <v>14.267135999999994</v>
      </c>
      <c r="AJ49" s="27">
        <v>13.273471999999993</v>
      </c>
      <c r="AK49" s="27">
        <v>17.470079999999999</v>
      </c>
      <c r="AL49" s="27">
        <v>17.224959999999999</v>
      </c>
      <c r="AM49" s="27">
        <v>15.234431999999996</v>
      </c>
      <c r="AN49" s="27">
        <v>11.624985599999997</v>
      </c>
      <c r="AO49" s="27">
        <v>18.330879999999997</v>
      </c>
      <c r="AP49" s="27">
        <v>16.695295999999999</v>
      </c>
      <c r="AQ49" s="27">
        <v>14.422527999999998</v>
      </c>
      <c r="AR49" s="27">
        <v>11.117516799999999</v>
      </c>
      <c r="AS49" s="27">
        <v>8.5105100799999995</v>
      </c>
      <c r="AT49" s="27">
        <v>8.5105100799999995</v>
      </c>
      <c r="AU49" s="27">
        <v>6.3063060479999997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C1:I42"/>
  <sheetViews>
    <sheetView zoomScaleNormal="100" workbookViewId="0">
      <selection activeCell="F25" sqref="F25"/>
    </sheetView>
  </sheetViews>
  <sheetFormatPr defaultRowHeight="15" x14ac:dyDescent="0.25"/>
  <sheetData>
    <row r="1" spans="3:9" ht="14.45" x14ac:dyDescent="0.3">
      <c r="C1">
        <v>26</v>
      </c>
      <c r="D1" t="s">
        <v>3</v>
      </c>
      <c r="E1" s="25">
        <v>5.1734210418690054</v>
      </c>
      <c r="F1" s="25">
        <v>7.0790655999999963</v>
      </c>
      <c r="G1" s="25">
        <v>6</v>
      </c>
      <c r="H1" s="25">
        <v>16</v>
      </c>
      <c r="I1" s="26">
        <f t="shared" ref="I1:I42" si="0">G1-H1</f>
        <v>-10</v>
      </c>
    </row>
    <row r="2" spans="3:9" ht="14.45" x14ac:dyDescent="0.3">
      <c r="C2">
        <v>25</v>
      </c>
      <c r="D2" t="s">
        <v>3</v>
      </c>
      <c r="E2" s="25">
        <v>5.3643970351411987</v>
      </c>
      <c r="F2" s="25">
        <v>7.3190655999999965</v>
      </c>
      <c r="G2" s="25">
        <v>8</v>
      </c>
      <c r="H2" s="25">
        <v>18</v>
      </c>
      <c r="I2" s="26">
        <f t="shared" si="0"/>
        <v>-10</v>
      </c>
    </row>
    <row r="3" spans="3:9" ht="14.45" x14ac:dyDescent="0.3">
      <c r="C3">
        <v>24</v>
      </c>
      <c r="D3" t="s">
        <v>3</v>
      </c>
      <c r="E3" s="25">
        <v>6.1636214325261367</v>
      </c>
      <c r="F3" s="25">
        <v>8.4547071999999979</v>
      </c>
      <c r="G3" s="25">
        <v>18</v>
      </c>
      <c r="H3" s="25">
        <v>24</v>
      </c>
      <c r="I3" s="26">
        <f t="shared" si="0"/>
        <v>-6</v>
      </c>
    </row>
    <row r="4" spans="3:9" ht="14.45" x14ac:dyDescent="0.3">
      <c r="C4">
        <v>29</v>
      </c>
      <c r="D4" t="s">
        <v>4</v>
      </c>
      <c r="E4" s="25">
        <v>5.3672715696786533</v>
      </c>
      <c r="F4" s="25">
        <v>8.1240832000000012</v>
      </c>
      <c r="G4" s="25">
        <v>14</v>
      </c>
      <c r="H4" s="25">
        <v>19</v>
      </c>
      <c r="I4" s="26">
        <f t="shared" si="0"/>
        <v>-5</v>
      </c>
    </row>
    <row r="5" spans="3:9" ht="14.45" x14ac:dyDescent="0.3">
      <c r="C5">
        <v>31</v>
      </c>
      <c r="D5" t="s">
        <v>4</v>
      </c>
      <c r="E5" s="25">
        <v>5.6134237695190894</v>
      </c>
      <c r="F5" s="25">
        <v>8.3640831999999996</v>
      </c>
      <c r="G5" s="25">
        <v>16</v>
      </c>
      <c r="H5" s="25">
        <v>21</v>
      </c>
      <c r="I5" s="26">
        <f t="shared" si="0"/>
        <v>-5</v>
      </c>
    </row>
    <row r="6" spans="3:9" ht="14.45" x14ac:dyDescent="0.3">
      <c r="C6">
        <v>39</v>
      </c>
      <c r="D6" t="s">
        <v>5</v>
      </c>
      <c r="E6" s="25">
        <v>4.3393520311525924</v>
      </c>
      <c r="F6" s="25">
        <v>7.07051008</v>
      </c>
      <c r="G6" s="25">
        <v>5</v>
      </c>
      <c r="H6" s="25">
        <v>8</v>
      </c>
      <c r="I6" s="26">
        <f t="shared" si="0"/>
        <v>-3</v>
      </c>
    </row>
    <row r="7" spans="3:9" ht="14.45" x14ac:dyDescent="0.3">
      <c r="C7">
        <v>27</v>
      </c>
      <c r="D7" t="s">
        <v>4</v>
      </c>
      <c r="E7" s="25">
        <v>7.9117170420241454</v>
      </c>
      <c r="F7" s="25">
        <v>10.382847999999996</v>
      </c>
      <c r="G7" s="25">
        <v>35</v>
      </c>
      <c r="H7" s="25">
        <v>38</v>
      </c>
      <c r="I7" s="26">
        <f t="shared" si="0"/>
        <v>-3</v>
      </c>
    </row>
    <row r="8" spans="3:9" ht="14.45" x14ac:dyDescent="0.3">
      <c r="C8">
        <v>11</v>
      </c>
      <c r="D8" t="s">
        <v>1</v>
      </c>
      <c r="E8" s="25">
        <v>4.4109883210139857</v>
      </c>
      <c r="F8" s="25">
        <v>7.1907420159999988</v>
      </c>
      <c r="G8" s="25">
        <v>7</v>
      </c>
      <c r="H8" s="25">
        <v>9</v>
      </c>
      <c r="I8" s="26">
        <f t="shared" si="0"/>
        <v>-2</v>
      </c>
    </row>
    <row r="9" spans="3:9" ht="14.45" x14ac:dyDescent="0.3">
      <c r="C9">
        <v>35</v>
      </c>
      <c r="D9" t="s">
        <v>4</v>
      </c>
      <c r="E9" s="25">
        <v>4.7465904042283142</v>
      </c>
      <c r="F9" s="25">
        <v>7.3749913600000001</v>
      </c>
      <c r="G9" s="25">
        <v>9</v>
      </c>
      <c r="H9" s="25">
        <v>11</v>
      </c>
      <c r="I9" s="26">
        <f t="shared" si="0"/>
        <v>-2</v>
      </c>
    </row>
    <row r="10" spans="3:9" ht="14.45" x14ac:dyDescent="0.3">
      <c r="C10">
        <v>16</v>
      </c>
      <c r="D10" t="s">
        <v>2</v>
      </c>
      <c r="E10" s="25">
        <v>7.1200292950850521</v>
      </c>
      <c r="F10" s="25">
        <v>9.4848255999999989</v>
      </c>
      <c r="G10" s="25">
        <v>28</v>
      </c>
      <c r="H10" s="25">
        <v>30</v>
      </c>
      <c r="I10" s="26">
        <f t="shared" si="0"/>
        <v>-2</v>
      </c>
    </row>
    <row r="11" spans="3:9" ht="14.45" x14ac:dyDescent="0.3">
      <c r="C11">
        <v>23</v>
      </c>
      <c r="D11" t="s">
        <v>3</v>
      </c>
      <c r="E11" s="25">
        <v>7.8101557721307886</v>
      </c>
      <c r="F11" s="25">
        <v>10.331775999999994</v>
      </c>
      <c r="G11" s="25">
        <v>34</v>
      </c>
      <c r="H11" s="25">
        <v>36</v>
      </c>
      <c r="I11" s="26">
        <f t="shared" si="0"/>
        <v>-2</v>
      </c>
    </row>
    <row r="12" spans="3:9" ht="14.45" x14ac:dyDescent="0.3">
      <c r="C12">
        <v>38</v>
      </c>
      <c r="D12" t="s">
        <v>4</v>
      </c>
      <c r="E12" s="25">
        <v>6.3472061043413444</v>
      </c>
      <c r="F12" s="25">
        <v>9.0535167999999988</v>
      </c>
      <c r="G12" s="25">
        <v>25</v>
      </c>
      <c r="H12" s="25">
        <v>26</v>
      </c>
      <c r="I12" s="26">
        <f t="shared" si="0"/>
        <v>-1</v>
      </c>
    </row>
    <row r="13" spans="3:9" ht="14.45" x14ac:dyDescent="0.3">
      <c r="C13">
        <v>19</v>
      </c>
      <c r="D13" t="s">
        <v>2</v>
      </c>
      <c r="E13" s="25">
        <v>7.4666229390569647</v>
      </c>
      <c r="F13" s="25">
        <v>9.7305855999999977</v>
      </c>
      <c r="G13" s="25">
        <v>31</v>
      </c>
      <c r="H13" s="25">
        <v>32</v>
      </c>
      <c r="I13" s="26">
        <f t="shared" si="0"/>
        <v>-1</v>
      </c>
    </row>
    <row r="14" spans="3:9" ht="14.45" x14ac:dyDescent="0.3">
      <c r="C14">
        <v>42</v>
      </c>
      <c r="D14" t="s">
        <v>5</v>
      </c>
      <c r="E14" s="25">
        <v>1.9620838799207951</v>
      </c>
      <c r="F14" s="25">
        <v>4.1837836288000005</v>
      </c>
      <c r="G14" s="25">
        <v>1</v>
      </c>
      <c r="H14" s="25">
        <v>1</v>
      </c>
      <c r="I14" s="26">
        <f t="shared" si="0"/>
        <v>0</v>
      </c>
    </row>
    <row r="15" spans="3:9" ht="14.45" x14ac:dyDescent="0.3">
      <c r="C15">
        <v>40</v>
      </c>
      <c r="D15" t="s">
        <v>5</v>
      </c>
      <c r="E15" s="25">
        <v>2.8654634128062919</v>
      </c>
      <c r="F15" s="25">
        <v>5.506306047999999</v>
      </c>
      <c r="G15" s="25">
        <v>2</v>
      </c>
      <c r="H15" s="25">
        <v>2</v>
      </c>
      <c r="I15" s="26">
        <f t="shared" si="0"/>
        <v>0</v>
      </c>
    </row>
    <row r="16" spans="3:9" ht="14.45" x14ac:dyDescent="0.3">
      <c r="C16">
        <v>41</v>
      </c>
      <c r="D16" t="s">
        <v>5</v>
      </c>
      <c r="E16" s="25">
        <v>2.8654634128062919</v>
      </c>
      <c r="F16" s="25">
        <v>5.5063060479999999</v>
      </c>
      <c r="G16" s="25">
        <v>3</v>
      </c>
      <c r="H16" s="25">
        <v>3</v>
      </c>
      <c r="I16" s="26">
        <f t="shared" si="0"/>
        <v>0</v>
      </c>
    </row>
    <row r="17" spans="3:9" ht="14.45" x14ac:dyDescent="0.3">
      <c r="C17">
        <v>13</v>
      </c>
      <c r="D17" t="s">
        <v>1</v>
      </c>
      <c r="E17" s="25">
        <v>4.0131105683365718</v>
      </c>
      <c r="F17" s="25">
        <v>6.3552501760000002</v>
      </c>
      <c r="G17" s="25">
        <v>4</v>
      </c>
      <c r="H17" s="25">
        <v>4</v>
      </c>
      <c r="I17" s="26">
        <f t="shared" si="0"/>
        <v>0</v>
      </c>
    </row>
    <row r="18" spans="3:9" ht="14.45" x14ac:dyDescent="0.3">
      <c r="C18">
        <v>10</v>
      </c>
      <c r="D18" t="s">
        <v>1</v>
      </c>
      <c r="E18" s="25">
        <v>4.818601074533948</v>
      </c>
      <c r="F18" s="25">
        <v>7.9992156159999963</v>
      </c>
      <c r="G18" s="25">
        <v>13</v>
      </c>
      <c r="H18" s="25">
        <v>13</v>
      </c>
      <c r="I18" s="26">
        <f t="shared" si="0"/>
        <v>0</v>
      </c>
    </row>
    <row r="19" spans="3:9" ht="14.45" x14ac:dyDescent="0.3">
      <c r="C19">
        <v>15</v>
      </c>
      <c r="D19" t="s">
        <v>2</v>
      </c>
      <c r="E19" s="25">
        <v>6.4202978883319579</v>
      </c>
      <c r="F19" s="25">
        <v>9.1878553599999986</v>
      </c>
      <c r="G19" s="25">
        <v>27</v>
      </c>
      <c r="H19" s="25">
        <v>27</v>
      </c>
      <c r="I19" s="26">
        <f t="shared" si="0"/>
        <v>0</v>
      </c>
    </row>
    <row r="20" spans="3:9" ht="14.45" x14ac:dyDescent="0.3">
      <c r="C20">
        <v>22</v>
      </c>
      <c r="D20" t="s">
        <v>3</v>
      </c>
      <c r="E20" s="25">
        <v>7.6424351052792598</v>
      </c>
      <c r="F20" s="25">
        <v>9.9957759999999958</v>
      </c>
      <c r="G20" s="25">
        <v>33</v>
      </c>
      <c r="H20" s="25">
        <v>33</v>
      </c>
      <c r="I20" s="26">
        <f t="shared" si="0"/>
        <v>0</v>
      </c>
    </row>
    <row r="21" spans="3:9" x14ac:dyDescent="0.25">
      <c r="C21">
        <v>32</v>
      </c>
      <c r="D21" t="s">
        <v>4</v>
      </c>
      <c r="E21" s="25">
        <v>8.3467802928453914</v>
      </c>
      <c r="F21" s="25">
        <v>10.882047999999998</v>
      </c>
      <c r="G21" s="25">
        <v>39</v>
      </c>
      <c r="H21" s="25">
        <v>39</v>
      </c>
      <c r="I21" s="26">
        <f t="shared" si="0"/>
        <v>0</v>
      </c>
    </row>
    <row r="22" spans="3:9" x14ac:dyDescent="0.25">
      <c r="C22">
        <v>20</v>
      </c>
      <c r="D22" t="s">
        <v>2</v>
      </c>
      <c r="E22" s="25">
        <v>8.4950916439803894</v>
      </c>
      <c r="F22" s="25">
        <v>11.041407999999995</v>
      </c>
      <c r="G22" s="25">
        <v>40</v>
      </c>
      <c r="H22" s="25">
        <v>40</v>
      </c>
      <c r="I22" s="26">
        <f t="shared" si="0"/>
        <v>0</v>
      </c>
    </row>
    <row r="23" spans="3:9" x14ac:dyDescent="0.25">
      <c r="C23">
        <v>36</v>
      </c>
      <c r="D23" t="s">
        <v>4</v>
      </c>
      <c r="E23" s="25">
        <v>8.6809236265624978</v>
      </c>
      <c r="F23" s="25">
        <v>11.398527999999997</v>
      </c>
      <c r="G23" s="25">
        <v>41</v>
      </c>
      <c r="H23" s="25">
        <v>41</v>
      </c>
      <c r="I23" s="26">
        <f t="shared" si="0"/>
        <v>0</v>
      </c>
    </row>
    <row r="24" spans="3:9" x14ac:dyDescent="0.25">
      <c r="C24">
        <v>17</v>
      </c>
      <c r="D24" t="s">
        <v>2</v>
      </c>
      <c r="E24" s="25">
        <v>8.7216731603256648</v>
      </c>
      <c r="F24" s="25">
        <v>11.541375999999994</v>
      </c>
      <c r="G24" s="25">
        <v>42</v>
      </c>
      <c r="H24" s="25">
        <v>42</v>
      </c>
      <c r="I24" s="26">
        <f t="shared" si="0"/>
        <v>0</v>
      </c>
    </row>
    <row r="25" spans="3:9" x14ac:dyDescent="0.25">
      <c r="C25">
        <v>30</v>
      </c>
      <c r="D25" t="s">
        <v>4</v>
      </c>
      <c r="E25" s="25">
        <v>5.7754158123569974</v>
      </c>
      <c r="F25" s="25">
        <v>8.9602815999999983</v>
      </c>
      <c r="G25" s="25">
        <v>23</v>
      </c>
      <c r="H25" s="25">
        <v>22</v>
      </c>
      <c r="I25" s="26">
        <f t="shared" si="0"/>
        <v>1</v>
      </c>
    </row>
    <row r="26" spans="3:9" x14ac:dyDescent="0.25">
      <c r="C26">
        <v>14</v>
      </c>
      <c r="D26" t="s">
        <v>2</v>
      </c>
      <c r="E26" s="25">
        <v>5.9707920859472869</v>
      </c>
      <c r="F26" s="25">
        <v>8.9674393599999984</v>
      </c>
      <c r="G26" s="25">
        <v>24</v>
      </c>
      <c r="H26" s="25">
        <v>23</v>
      </c>
      <c r="I26" s="26">
        <f t="shared" si="0"/>
        <v>1</v>
      </c>
    </row>
    <row r="27" spans="3:9" x14ac:dyDescent="0.25">
      <c r="C27">
        <v>12</v>
      </c>
      <c r="D27" t="s">
        <v>1</v>
      </c>
      <c r="E27" s="25">
        <v>6.2676118852796794</v>
      </c>
      <c r="F27" s="25">
        <v>9.1254169600000044</v>
      </c>
      <c r="G27" s="25">
        <v>26</v>
      </c>
      <c r="H27" s="25">
        <v>25</v>
      </c>
      <c r="I27" s="26">
        <f t="shared" si="0"/>
        <v>1</v>
      </c>
    </row>
    <row r="28" spans="3:9" x14ac:dyDescent="0.25">
      <c r="C28">
        <v>34</v>
      </c>
      <c r="D28" t="s">
        <v>4</v>
      </c>
      <c r="E28" s="25">
        <v>6.7122825617468882</v>
      </c>
      <c r="F28" s="25">
        <v>9.5406591999999968</v>
      </c>
      <c r="G28" s="25">
        <v>29</v>
      </c>
      <c r="H28" s="25">
        <v>28</v>
      </c>
      <c r="I28" s="26">
        <f t="shared" si="0"/>
        <v>1</v>
      </c>
    </row>
    <row r="29" spans="3:9" x14ac:dyDescent="0.25">
      <c r="C29">
        <v>28</v>
      </c>
      <c r="D29" t="s">
        <v>4</v>
      </c>
      <c r="E29" s="25">
        <v>7.015355223057667</v>
      </c>
      <c r="F29" s="25">
        <v>9.6540159999999968</v>
      </c>
      <c r="G29" s="25">
        <v>30</v>
      </c>
      <c r="H29" s="25">
        <v>29</v>
      </c>
      <c r="I29" s="26">
        <f t="shared" si="0"/>
        <v>1</v>
      </c>
    </row>
    <row r="30" spans="3:9" x14ac:dyDescent="0.25">
      <c r="C30">
        <v>18</v>
      </c>
      <c r="D30" t="s">
        <v>2</v>
      </c>
      <c r="E30" s="25">
        <v>7.3393985967318534</v>
      </c>
      <c r="F30" s="25">
        <v>9.967897599999997</v>
      </c>
      <c r="G30" s="25">
        <v>32</v>
      </c>
      <c r="H30" s="25">
        <v>31</v>
      </c>
      <c r="I30" s="26">
        <f t="shared" si="0"/>
        <v>1</v>
      </c>
    </row>
    <row r="31" spans="3:9" x14ac:dyDescent="0.25">
      <c r="C31">
        <v>21</v>
      </c>
      <c r="D31" t="s">
        <v>3</v>
      </c>
      <c r="E31" s="25">
        <v>7.8808654711507318</v>
      </c>
      <c r="F31" s="25">
        <v>10.796953599999997</v>
      </c>
      <c r="G31" s="25">
        <v>38</v>
      </c>
      <c r="H31" s="25">
        <v>37</v>
      </c>
      <c r="I31" s="26">
        <f t="shared" si="0"/>
        <v>1</v>
      </c>
    </row>
    <row r="32" spans="3:9" x14ac:dyDescent="0.25">
      <c r="C32">
        <v>3</v>
      </c>
      <c r="D32" t="s">
        <v>0</v>
      </c>
      <c r="E32" s="25">
        <v>5.430491610122119</v>
      </c>
      <c r="F32" s="25">
        <v>8.8163676159999973</v>
      </c>
      <c r="G32" s="25">
        <v>22</v>
      </c>
      <c r="H32" s="25">
        <v>20</v>
      </c>
      <c r="I32" s="26">
        <f t="shared" si="0"/>
        <v>2</v>
      </c>
    </row>
    <row r="33" spans="3:9" x14ac:dyDescent="0.25">
      <c r="C33">
        <v>37</v>
      </c>
      <c r="D33" t="s">
        <v>4</v>
      </c>
      <c r="E33" s="25">
        <v>7.7978441770637588</v>
      </c>
      <c r="F33" s="25">
        <v>10.417177599999997</v>
      </c>
      <c r="G33" s="25">
        <v>36</v>
      </c>
      <c r="H33" s="25">
        <v>34</v>
      </c>
      <c r="I33" s="26">
        <f t="shared" si="0"/>
        <v>2</v>
      </c>
    </row>
    <row r="34" spans="3:9" x14ac:dyDescent="0.25">
      <c r="C34">
        <v>33</v>
      </c>
      <c r="D34" t="s">
        <v>4</v>
      </c>
      <c r="E34" s="25">
        <v>7.8049497810623842</v>
      </c>
      <c r="F34" s="25">
        <v>10.734975999999996</v>
      </c>
      <c r="G34" s="25">
        <v>37</v>
      </c>
      <c r="H34" s="25">
        <v>35</v>
      </c>
      <c r="I34" s="26">
        <f t="shared" si="0"/>
        <v>2</v>
      </c>
    </row>
    <row r="35" spans="3:9" x14ac:dyDescent="0.25">
      <c r="C35">
        <v>6</v>
      </c>
      <c r="D35" t="s">
        <v>0</v>
      </c>
      <c r="E35" s="25">
        <v>4.3007109368970262</v>
      </c>
      <c r="F35" s="25">
        <v>7.4261149695999951</v>
      </c>
      <c r="G35" s="25">
        <v>10</v>
      </c>
      <c r="H35" s="25">
        <v>6</v>
      </c>
      <c r="I35" s="26">
        <f t="shared" si="0"/>
        <v>4</v>
      </c>
    </row>
    <row r="36" spans="3:9" x14ac:dyDescent="0.25">
      <c r="C36">
        <v>8</v>
      </c>
      <c r="D36" t="s">
        <v>0</v>
      </c>
      <c r="E36" s="25">
        <v>4.3187819606545821</v>
      </c>
      <c r="F36" s="25">
        <v>7.6329373695999934</v>
      </c>
      <c r="G36" s="25">
        <v>11</v>
      </c>
      <c r="H36" s="25">
        <v>7</v>
      </c>
      <c r="I36" s="26">
        <f t="shared" si="0"/>
        <v>4</v>
      </c>
    </row>
    <row r="37" spans="3:9" x14ac:dyDescent="0.25">
      <c r="C37">
        <v>5</v>
      </c>
      <c r="D37" t="s">
        <v>0</v>
      </c>
      <c r="E37" s="25">
        <v>5.2270980402403957</v>
      </c>
      <c r="F37" s="25">
        <v>8.6934108159999983</v>
      </c>
      <c r="G37" s="25">
        <v>21</v>
      </c>
      <c r="H37" s="25">
        <v>17</v>
      </c>
      <c r="I37" s="26">
        <f t="shared" si="0"/>
        <v>4</v>
      </c>
    </row>
    <row r="38" spans="3:9" x14ac:dyDescent="0.25">
      <c r="C38">
        <v>7</v>
      </c>
      <c r="D38" t="s">
        <v>0</v>
      </c>
      <c r="E38" s="25">
        <v>4.5927547130610407</v>
      </c>
      <c r="F38" s="25">
        <v>8.1988956159999962</v>
      </c>
      <c r="G38" s="25">
        <v>15</v>
      </c>
      <c r="H38" s="25">
        <v>10</v>
      </c>
      <c r="I38" s="26">
        <f t="shared" si="0"/>
        <v>5</v>
      </c>
    </row>
    <row r="39" spans="3:9" x14ac:dyDescent="0.25">
      <c r="C39">
        <v>4</v>
      </c>
      <c r="D39" t="s">
        <v>0</v>
      </c>
      <c r="E39" s="25">
        <v>4.8064196553190452</v>
      </c>
      <c r="F39" s="25">
        <v>8.3821465599999989</v>
      </c>
      <c r="G39" s="25">
        <v>17</v>
      </c>
      <c r="H39" s="25">
        <v>12</v>
      </c>
      <c r="I39" s="26">
        <f t="shared" si="0"/>
        <v>5</v>
      </c>
    </row>
    <row r="40" spans="3:9" x14ac:dyDescent="0.25">
      <c r="C40">
        <v>1</v>
      </c>
      <c r="D40" t="s">
        <v>0</v>
      </c>
      <c r="E40" s="25">
        <v>5.0285927174550462</v>
      </c>
      <c r="F40" s="25">
        <v>8.5060863999999992</v>
      </c>
      <c r="G40" s="25">
        <v>19</v>
      </c>
      <c r="H40" s="25">
        <v>14</v>
      </c>
      <c r="I40" s="26">
        <f t="shared" si="0"/>
        <v>5</v>
      </c>
    </row>
    <row r="41" spans="3:9" x14ac:dyDescent="0.25">
      <c r="C41">
        <v>2</v>
      </c>
      <c r="D41" t="s">
        <v>0</v>
      </c>
      <c r="E41" s="25">
        <v>5.0550796621301011</v>
      </c>
      <c r="F41" s="25">
        <v>8.5514905599999977</v>
      </c>
      <c r="G41" s="25">
        <v>20</v>
      </c>
      <c r="H41" s="25">
        <v>15</v>
      </c>
      <c r="I41" s="26">
        <f t="shared" si="0"/>
        <v>5</v>
      </c>
    </row>
    <row r="42" spans="3:9" x14ac:dyDescent="0.25">
      <c r="C42">
        <v>9</v>
      </c>
      <c r="D42" t="s">
        <v>0</v>
      </c>
      <c r="E42" s="25">
        <v>4.2879443344240489</v>
      </c>
      <c r="F42" s="25">
        <v>7.7468317695999938</v>
      </c>
      <c r="G42" s="25">
        <v>12</v>
      </c>
      <c r="H42" s="25">
        <v>5</v>
      </c>
      <c r="I42" s="26">
        <f t="shared" si="0"/>
        <v>7</v>
      </c>
    </row>
  </sheetData>
  <sortState ref="C1:I42">
    <sortCondition ref="I1:I42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D43"/>
  <sheetViews>
    <sheetView topLeftCell="A3" workbookViewId="0">
      <selection activeCell="C2" sqref="C2:C43"/>
    </sheetView>
  </sheetViews>
  <sheetFormatPr defaultRowHeight="15" x14ac:dyDescent="0.25"/>
  <cols>
    <col min="1" max="1" width="12.28515625" bestFit="1" customWidth="1"/>
    <col min="2" max="2" width="7.140625" bestFit="1" customWidth="1"/>
    <col min="3" max="3" width="17.85546875" bestFit="1" customWidth="1"/>
    <col min="4" max="4" width="21.140625" bestFit="1" customWidth="1"/>
  </cols>
  <sheetData>
    <row r="1" spans="1:4" x14ac:dyDescent="0.25">
      <c r="A1" t="s">
        <v>99</v>
      </c>
      <c r="B1" t="s">
        <v>96</v>
      </c>
      <c r="C1" t="s">
        <v>98</v>
      </c>
      <c r="D1" t="s">
        <v>97</v>
      </c>
    </row>
    <row r="2" spans="1:4" x14ac:dyDescent="0.25">
      <c r="A2">
        <v>1</v>
      </c>
      <c r="B2">
        <v>1</v>
      </c>
      <c r="C2" t="s">
        <v>90</v>
      </c>
      <c r="D2" t="s">
        <v>48</v>
      </c>
    </row>
    <row r="3" spans="1:4" x14ac:dyDescent="0.25">
      <c r="A3">
        <v>1</v>
      </c>
      <c r="B3">
        <v>2</v>
      </c>
      <c r="C3" t="s">
        <v>90</v>
      </c>
      <c r="D3" t="s">
        <v>49</v>
      </c>
    </row>
    <row r="4" spans="1:4" x14ac:dyDescent="0.25">
      <c r="A4">
        <v>1</v>
      </c>
      <c r="B4">
        <v>3</v>
      </c>
      <c r="C4" t="s">
        <v>90</v>
      </c>
      <c r="D4" t="s">
        <v>50</v>
      </c>
    </row>
    <row r="5" spans="1:4" x14ac:dyDescent="0.25">
      <c r="A5">
        <v>1</v>
      </c>
      <c r="B5">
        <v>4</v>
      </c>
      <c r="C5" t="s">
        <v>90</v>
      </c>
      <c r="D5" t="s">
        <v>51</v>
      </c>
    </row>
    <row r="6" spans="1:4" x14ac:dyDescent="0.25">
      <c r="A6">
        <v>1</v>
      </c>
      <c r="B6">
        <v>5</v>
      </c>
      <c r="C6" t="s">
        <v>90</v>
      </c>
      <c r="D6" t="s">
        <v>52</v>
      </c>
    </row>
    <row r="7" spans="1:4" x14ac:dyDescent="0.25">
      <c r="A7">
        <v>1</v>
      </c>
      <c r="B7">
        <v>6</v>
      </c>
      <c r="C7" t="s">
        <v>90</v>
      </c>
      <c r="D7" t="s">
        <v>53</v>
      </c>
    </row>
    <row r="8" spans="1:4" x14ac:dyDescent="0.25">
      <c r="A8">
        <v>1</v>
      </c>
      <c r="B8">
        <v>7</v>
      </c>
      <c r="C8" t="s">
        <v>90</v>
      </c>
      <c r="D8" t="s">
        <v>54</v>
      </c>
    </row>
    <row r="9" spans="1:4" x14ac:dyDescent="0.25">
      <c r="A9">
        <v>1</v>
      </c>
      <c r="B9">
        <v>8</v>
      </c>
      <c r="C9" t="s">
        <v>90</v>
      </c>
      <c r="D9" t="s">
        <v>55</v>
      </c>
    </row>
    <row r="10" spans="1:4" x14ac:dyDescent="0.25">
      <c r="A10">
        <v>1</v>
      </c>
      <c r="B10">
        <v>9</v>
      </c>
      <c r="C10" t="s">
        <v>90</v>
      </c>
      <c r="D10" t="s">
        <v>56</v>
      </c>
    </row>
    <row r="11" spans="1:4" x14ac:dyDescent="0.25">
      <c r="A11">
        <v>2</v>
      </c>
      <c r="B11">
        <v>10</v>
      </c>
      <c r="C11" t="s">
        <v>91</v>
      </c>
      <c r="D11" t="s">
        <v>57</v>
      </c>
    </row>
    <row r="12" spans="1:4" x14ac:dyDescent="0.25">
      <c r="A12">
        <v>2</v>
      </c>
      <c r="B12">
        <v>11</v>
      </c>
      <c r="C12" t="s">
        <v>91</v>
      </c>
      <c r="D12" t="s">
        <v>58</v>
      </c>
    </row>
    <row r="13" spans="1:4" x14ac:dyDescent="0.25">
      <c r="A13">
        <v>2</v>
      </c>
      <c r="B13">
        <v>12</v>
      </c>
      <c r="C13" t="s">
        <v>91</v>
      </c>
      <c r="D13" t="s">
        <v>59</v>
      </c>
    </row>
    <row r="14" spans="1:4" x14ac:dyDescent="0.25">
      <c r="A14">
        <v>2</v>
      </c>
      <c r="B14">
        <v>13</v>
      </c>
      <c r="C14" t="s">
        <v>91</v>
      </c>
      <c r="D14" t="s">
        <v>60</v>
      </c>
    </row>
    <row r="15" spans="1:4" x14ac:dyDescent="0.25">
      <c r="A15">
        <v>3</v>
      </c>
      <c r="B15">
        <v>14</v>
      </c>
      <c r="C15" t="s">
        <v>92</v>
      </c>
      <c r="D15" t="s">
        <v>61</v>
      </c>
    </row>
    <row r="16" spans="1:4" x14ac:dyDescent="0.25">
      <c r="A16">
        <v>3</v>
      </c>
      <c r="B16">
        <v>15</v>
      </c>
      <c r="C16" t="s">
        <v>92</v>
      </c>
      <c r="D16" t="s">
        <v>62</v>
      </c>
    </row>
    <row r="17" spans="1:4" x14ac:dyDescent="0.25">
      <c r="A17">
        <v>3</v>
      </c>
      <c r="B17">
        <v>16</v>
      </c>
      <c r="C17" t="s">
        <v>92</v>
      </c>
      <c r="D17" t="s">
        <v>63</v>
      </c>
    </row>
    <row r="18" spans="1:4" x14ac:dyDescent="0.25">
      <c r="A18">
        <v>3</v>
      </c>
      <c r="B18">
        <v>17</v>
      </c>
      <c r="C18" t="s">
        <v>92</v>
      </c>
      <c r="D18" t="s">
        <v>64</v>
      </c>
    </row>
    <row r="19" spans="1:4" x14ac:dyDescent="0.25">
      <c r="A19">
        <v>3</v>
      </c>
      <c r="B19">
        <v>18</v>
      </c>
      <c r="C19" t="s">
        <v>92</v>
      </c>
      <c r="D19" t="s">
        <v>65</v>
      </c>
    </row>
    <row r="20" spans="1:4" x14ac:dyDescent="0.25">
      <c r="A20">
        <v>3</v>
      </c>
      <c r="B20">
        <v>19</v>
      </c>
      <c r="C20" t="s">
        <v>92</v>
      </c>
      <c r="D20" t="s">
        <v>66</v>
      </c>
    </row>
    <row r="21" spans="1:4" x14ac:dyDescent="0.25">
      <c r="A21">
        <v>3</v>
      </c>
      <c r="B21">
        <v>20</v>
      </c>
      <c r="C21" t="s">
        <v>92</v>
      </c>
      <c r="D21" t="s">
        <v>67</v>
      </c>
    </row>
    <row r="22" spans="1:4" x14ac:dyDescent="0.25">
      <c r="A22">
        <v>4</v>
      </c>
      <c r="B22">
        <v>21</v>
      </c>
      <c r="C22" t="s">
        <v>93</v>
      </c>
      <c r="D22" t="s">
        <v>68</v>
      </c>
    </row>
    <row r="23" spans="1:4" x14ac:dyDescent="0.25">
      <c r="A23">
        <v>4</v>
      </c>
      <c r="B23">
        <v>22</v>
      </c>
      <c r="C23" t="s">
        <v>93</v>
      </c>
      <c r="D23" t="s">
        <v>69</v>
      </c>
    </row>
    <row r="24" spans="1:4" x14ac:dyDescent="0.25">
      <c r="A24">
        <v>4</v>
      </c>
      <c r="B24">
        <v>23</v>
      </c>
      <c r="C24" t="s">
        <v>93</v>
      </c>
      <c r="D24" t="s">
        <v>70</v>
      </c>
    </row>
    <row r="25" spans="1:4" x14ac:dyDescent="0.25">
      <c r="A25">
        <v>4</v>
      </c>
      <c r="B25">
        <v>24</v>
      </c>
      <c r="C25" t="s">
        <v>93</v>
      </c>
      <c r="D25" t="s">
        <v>71</v>
      </c>
    </row>
    <row r="26" spans="1:4" x14ac:dyDescent="0.25">
      <c r="A26">
        <v>4</v>
      </c>
      <c r="B26">
        <v>25</v>
      </c>
      <c r="C26" t="s">
        <v>93</v>
      </c>
      <c r="D26" t="s">
        <v>72</v>
      </c>
    </row>
    <row r="27" spans="1:4" x14ac:dyDescent="0.25">
      <c r="A27">
        <v>4</v>
      </c>
      <c r="B27">
        <v>26</v>
      </c>
      <c r="C27" t="s">
        <v>93</v>
      </c>
      <c r="D27" t="s">
        <v>73</v>
      </c>
    </row>
    <row r="28" spans="1:4" x14ac:dyDescent="0.25">
      <c r="A28">
        <v>5</v>
      </c>
      <c r="B28">
        <v>27</v>
      </c>
      <c r="C28" t="s">
        <v>94</v>
      </c>
      <c r="D28" t="s">
        <v>74</v>
      </c>
    </row>
    <row r="29" spans="1:4" x14ac:dyDescent="0.25">
      <c r="A29">
        <v>5</v>
      </c>
      <c r="B29">
        <v>28</v>
      </c>
      <c r="C29" t="s">
        <v>94</v>
      </c>
      <c r="D29" t="s">
        <v>75</v>
      </c>
    </row>
    <row r="30" spans="1:4" x14ac:dyDescent="0.25">
      <c r="A30">
        <v>5</v>
      </c>
      <c r="B30">
        <v>29</v>
      </c>
      <c r="C30" t="s">
        <v>94</v>
      </c>
      <c r="D30" t="s">
        <v>76</v>
      </c>
    </row>
    <row r="31" spans="1:4" x14ac:dyDescent="0.25">
      <c r="A31">
        <v>5</v>
      </c>
      <c r="B31">
        <v>30</v>
      </c>
      <c r="C31" t="s">
        <v>94</v>
      </c>
      <c r="D31" t="s">
        <v>77</v>
      </c>
    </row>
    <row r="32" spans="1:4" x14ac:dyDescent="0.25">
      <c r="A32">
        <v>5</v>
      </c>
      <c r="B32">
        <v>31</v>
      </c>
      <c r="C32" t="s">
        <v>94</v>
      </c>
      <c r="D32" t="s">
        <v>78</v>
      </c>
    </row>
    <row r="33" spans="1:4" x14ac:dyDescent="0.25">
      <c r="A33">
        <v>5</v>
      </c>
      <c r="B33">
        <v>32</v>
      </c>
      <c r="C33" t="s">
        <v>94</v>
      </c>
      <c r="D33" t="s">
        <v>79</v>
      </c>
    </row>
    <row r="34" spans="1:4" x14ac:dyDescent="0.25">
      <c r="A34">
        <v>5</v>
      </c>
      <c r="B34">
        <v>33</v>
      </c>
      <c r="C34" t="s">
        <v>94</v>
      </c>
      <c r="D34" t="s">
        <v>80</v>
      </c>
    </row>
    <row r="35" spans="1:4" x14ac:dyDescent="0.25">
      <c r="A35">
        <v>5</v>
      </c>
      <c r="B35">
        <v>34</v>
      </c>
      <c r="C35" t="s">
        <v>94</v>
      </c>
      <c r="D35" t="s">
        <v>81</v>
      </c>
    </row>
    <row r="36" spans="1:4" x14ac:dyDescent="0.25">
      <c r="A36">
        <v>5</v>
      </c>
      <c r="B36">
        <v>35</v>
      </c>
      <c r="C36" t="s">
        <v>94</v>
      </c>
      <c r="D36" t="s">
        <v>82</v>
      </c>
    </row>
    <row r="37" spans="1:4" x14ac:dyDescent="0.25">
      <c r="A37">
        <v>5</v>
      </c>
      <c r="B37">
        <v>36</v>
      </c>
      <c r="C37" t="s">
        <v>94</v>
      </c>
      <c r="D37" t="s">
        <v>83</v>
      </c>
    </row>
    <row r="38" spans="1:4" x14ac:dyDescent="0.25">
      <c r="A38">
        <v>5</v>
      </c>
      <c r="B38">
        <v>37</v>
      </c>
      <c r="C38" t="s">
        <v>94</v>
      </c>
      <c r="D38" t="s">
        <v>84</v>
      </c>
    </row>
    <row r="39" spans="1:4" x14ac:dyDescent="0.25">
      <c r="A39">
        <v>5</v>
      </c>
      <c r="B39">
        <v>38</v>
      </c>
      <c r="C39" t="s">
        <v>94</v>
      </c>
      <c r="D39" t="s">
        <v>85</v>
      </c>
    </row>
    <row r="40" spans="1:4" x14ac:dyDescent="0.25">
      <c r="A40">
        <v>6</v>
      </c>
      <c r="B40">
        <v>39</v>
      </c>
      <c r="C40" t="s">
        <v>95</v>
      </c>
      <c r="D40" t="s">
        <v>86</v>
      </c>
    </row>
    <row r="41" spans="1:4" x14ac:dyDescent="0.25">
      <c r="A41">
        <v>6</v>
      </c>
      <c r="B41">
        <v>40</v>
      </c>
      <c r="C41" t="s">
        <v>95</v>
      </c>
      <c r="D41" t="s">
        <v>87</v>
      </c>
    </row>
    <row r="42" spans="1:4" x14ac:dyDescent="0.25">
      <c r="A42">
        <v>6</v>
      </c>
      <c r="B42">
        <v>41</v>
      </c>
      <c r="C42" t="s">
        <v>95</v>
      </c>
      <c r="D42" t="s">
        <v>88</v>
      </c>
    </row>
    <row r="43" spans="1:4" x14ac:dyDescent="0.25">
      <c r="A43">
        <v>6</v>
      </c>
      <c r="B43">
        <v>42</v>
      </c>
      <c r="C43" t="s">
        <v>95</v>
      </c>
      <c r="D43" t="s">
        <v>89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T46"/>
  <sheetViews>
    <sheetView tabSelected="1" topLeftCell="C3" workbookViewId="0">
      <selection activeCell="AV5" sqref="AV5"/>
    </sheetView>
  </sheetViews>
  <sheetFormatPr defaultRowHeight="15" outlineLevelRow="1" outlineLevelCol="1" x14ac:dyDescent="0.25"/>
  <cols>
    <col min="1" max="1" width="10.7109375" hidden="1" customWidth="1" outlineLevel="1"/>
    <col min="2" max="2" width="16.42578125" hidden="1" customWidth="1" outlineLevel="1"/>
    <col min="3" max="3" width="3" bestFit="1" customWidth="1" collapsed="1"/>
    <col min="4" max="4" width="3" customWidth="1"/>
    <col min="5" max="46" width="2.85546875" customWidth="1"/>
  </cols>
  <sheetData>
    <row r="1" spans="1:46" ht="23.25" hidden="1" outlineLevel="1" x14ac:dyDescent="0.25">
      <c r="E1" s="30" t="str">
        <f>INDEX($A$5:$B$46,E$3,1)</f>
        <v>North America</v>
      </c>
      <c r="F1" s="30" t="str">
        <f>INDEX($A$5:$B$46,F$3,1)</f>
        <v>North America</v>
      </c>
      <c r="G1" s="30" t="str">
        <f>INDEX($A$5:$B$46,G$3,1)</f>
        <v>North America</v>
      </c>
      <c r="H1" s="30" t="str">
        <f>INDEX($A$5:$B$46,H$3,1)</f>
        <v>North America</v>
      </c>
      <c r="I1" s="30" t="str">
        <f>INDEX($A$5:$B$46,I$3,1)</f>
        <v>North America</v>
      </c>
      <c r="J1" s="30" t="str">
        <f>INDEX($A$5:$B$46,J$3,1)</f>
        <v>North America</v>
      </c>
      <c r="K1" s="30" t="str">
        <f>INDEX($A$5:$B$46,K$3,1)</f>
        <v>North America</v>
      </c>
      <c r="L1" s="30" t="str">
        <f>INDEX($A$5:$B$46,L$3,1)</f>
        <v>North America</v>
      </c>
      <c r="M1" s="30" t="str">
        <f>INDEX($A$5:$B$46,M$3,1)</f>
        <v>North America</v>
      </c>
      <c r="N1" s="30" t="str">
        <f>INDEX($A$5:$B$46,N$3,1)</f>
        <v>South America</v>
      </c>
      <c r="O1" s="30" t="str">
        <f>INDEX($A$5:$B$46,O$3,1)</f>
        <v>South America</v>
      </c>
      <c r="P1" s="30" t="str">
        <f>INDEX($A$5:$B$46,P$3,1)</f>
        <v>South America</v>
      </c>
      <c r="Q1" s="30" t="str">
        <f>INDEX($A$5:$B$46,Q$3,1)</f>
        <v>South America</v>
      </c>
      <c r="R1" s="30" t="str">
        <f>INDEX($A$5:$B$46,R$3,1)</f>
        <v>Europe</v>
      </c>
      <c r="S1" s="30" t="str">
        <f>INDEX($A$5:$B$46,S$3,1)</f>
        <v>Europe</v>
      </c>
      <c r="T1" s="30" t="str">
        <f>INDEX($A$5:$B$46,T$3,1)</f>
        <v>Europe</v>
      </c>
      <c r="U1" s="30" t="str">
        <f>INDEX($A$5:$B$46,U$3,1)</f>
        <v>Europe</v>
      </c>
      <c r="V1" s="30" t="str">
        <f>INDEX($A$5:$B$46,V$3,1)</f>
        <v>Europe</v>
      </c>
      <c r="W1" s="30" t="str">
        <f>INDEX($A$5:$B$46,W$3,1)</f>
        <v>Europe</v>
      </c>
      <c r="X1" s="30" t="str">
        <f>INDEX($A$5:$B$46,X$3,1)</f>
        <v>Europe</v>
      </c>
      <c r="Y1" s="30" t="str">
        <f>INDEX($A$5:$B$46,Y$3,1)</f>
        <v>Afrika</v>
      </c>
      <c r="Z1" s="30" t="str">
        <f>INDEX($A$5:$B$46,Z$3,1)</f>
        <v>Afrika</v>
      </c>
      <c r="AA1" s="30" t="str">
        <f>INDEX($A$5:$B$46,AA$3,1)</f>
        <v>Afrika</v>
      </c>
      <c r="AB1" s="30" t="str">
        <f>INDEX($A$5:$B$46,AB$3,1)</f>
        <v>Afrika</v>
      </c>
      <c r="AC1" s="30" t="str">
        <f>INDEX($A$5:$B$46,AC$3,1)</f>
        <v>Afrika</v>
      </c>
      <c r="AD1" s="30" t="str">
        <f>INDEX($A$5:$B$46,AD$3,1)</f>
        <v>Afrika</v>
      </c>
      <c r="AE1" s="30" t="str">
        <f>INDEX($A$5:$B$46,AE$3,1)</f>
        <v>Azia</v>
      </c>
      <c r="AF1" s="30" t="str">
        <f>INDEX($A$5:$B$46,AF$3,1)</f>
        <v>Azia</v>
      </c>
      <c r="AG1" s="30" t="str">
        <f>INDEX($A$5:$B$46,AG$3,1)</f>
        <v>Azia</v>
      </c>
      <c r="AH1" s="30" t="str">
        <f>INDEX($A$5:$B$46,AH$3,1)</f>
        <v>Azia</v>
      </c>
      <c r="AI1" s="30" t="str">
        <f>INDEX($A$5:$B$46,AI$3,1)</f>
        <v>Azia</v>
      </c>
      <c r="AJ1" s="30" t="str">
        <f>INDEX($A$5:$B$46,AJ$3,1)</f>
        <v>Azia</v>
      </c>
      <c r="AK1" s="30" t="str">
        <f>INDEX($A$5:$B$46,AK$3,1)</f>
        <v>Azia</v>
      </c>
      <c r="AL1" s="30" t="str">
        <f>INDEX($A$5:$B$46,AL$3,1)</f>
        <v>Azia</v>
      </c>
      <c r="AM1" s="30" t="str">
        <f>INDEX($A$5:$B$46,AM$3,1)</f>
        <v>Azia</v>
      </c>
      <c r="AN1" s="30" t="str">
        <f>INDEX($A$5:$B$46,AN$3,1)</f>
        <v>Azia</v>
      </c>
      <c r="AO1" s="30" t="str">
        <f>INDEX($A$5:$B$46,AO$3,1)</f>
        <v>Azia</v>
      </c>
      <c r="AP1" s="30" t="str">
        <f>INDEX($A$5:$B$46,AP$3,1)</f>
        <v>Azia</v>
      </c>
      <c r="AQ1" s="30" t="str">
        <f>INDEX($A$5:$B$46,AQ$3,1)</f>
        <v>Australia</v>
      </c>
      <c r="AR1" s="30" t="str">
        <f>INDEX($A$5:$B$46,AR$3,1)</f>
        <v>Australia</v>
      </c>
      <c r="AS1" s="30" t="str">
        <f>INDEX($A$5:$B$46,AS$3,1)</f>
        <v>Australia</v>
      </c>
      <c r="AT1" s="30" t="str">
        <f>INDEX($A$5:$B$46,AT$3,1)</f>
        <v>Australia</v>
      </c>
    </row>
    <row r="2" spans="1:46" ht="34.5" hidden="1" outlineLevel="1" x14ac:dyDescent="0.25">
      <c r="E2" s="30" t="str">
        <f>INDEX($A$5:$B$46,E$3,2)</f>
        <v>Alaska</v>
      </c>
      <c r="F2" s="30" t="str">
        <f>INDEX($A$5:$B$46,F$3,2)</f>
        <v>Northwest Territory</v>
      </c>
      <c r="G2" s="30" t="str">
        <f>INDEX($A$5:$B$46,G$3,2)</f>
        <v>Greenland</v>
      </c>
      <c r="H2" s="30" t="str">
        <f>INDEX($A$5:$B$46,H$3,2)</f>
        <v>Alberta</v>
      </c>
      <c r="I2" s="30" t="str">
        <f>INDEX($A$5:$B$46,I$3,2)</f>
        <v>Ontario</v>
      </c>
      <c r="J2" s="30" t="str">
        <f>INDEX($A$5:$B$46,J$3,2)</f>
        <v>Quebec</v>
      </c>
      <c r="K2" s="30" t="str">
        <f>INDEX($A$5:$B$46,K$3,2)</f>
        <v>Western United States</v>
      </c>
      <c r="L2" s="30" t="str">
        <f>INDEX($A$5:$B$46,L$3,2)</f>
        <v>Eastern United States</v>
      </c>
      <c r="M2" s="30" t="str">
        <f>INDEX($A$5:$B$46,M$3,2)</f>
        <v>Central America</v>
      </c>
      <c r="N2" s="30" t="str">
        <f>INDEX($A$5:$B$46,N$3,2)</f>
        <v>Venezuela</v>
      </c>
      <c r="O2" s="30" t="str">
        <f>INDEX($A$5:$B$46,O$3,2)</f>
        <v>Peru</v>
      </c>
      <c r="P2" s="30" t="str">
        <f>INDEX($A$5:$B$46,P$3,2)</f>
        <v>Brazil</v>
      </c>
      <c r="Q2" s="30" t="str">
        <f>INDEX($A$5:$B$46,Q$3,2)</f>
        <v>Argentina</v>
      </c>
      <c r="R2" s="30" t="str">
        <f>INDEX($A$5:$B$46,R$3,2)</f>
        <v>Iceland</v>
      </c>
      <c r="S2" s="30" t="str">
        <f>INDEX($A$5:$B$46,S$3,2)</f>
        <v>Great Britain</v>
      </c>
      <c r="T2" s="30" t="str">
        <f>INDEX($A$5:$B$46,T$3,2)</f>
        <v>Scandinavia</v>
      </c>
      <c r="U2" s="30" t="str">
        <f>INDEX($A$5:$B$46,U$3,2)</f>
        <v>Ukraine</v>
      </c>
      <c r="V2" s="30" t="str">
        <f>INDEX($A$5:$B$46,V$3,2)</f>
        <v>Western Europe</v>
      </c>
      <c r="W2" s="30" t="str">
        <f>INDEX($A$5:$B$46,W$3,2)</f>
        <v>Northern Europe</v>
      </c>
      <c r="X2" s="30" t="str">
        <f>INDEX($A$5:$B$46,X$3,2)</f>
        <v>Southern Europe</v>
      </c>
      <c r="Y2" s="30" t="str">
        <f>INDEX($A$5:$B$46,Y$3,2)</f>
        <v>North Africa</v>
      </c>
      <c r="Z2" s="30" t="str">
        <f>INDEX($A$5:$B$46,Z$3,2)</f>
        <v>Egypt</v>
      </c>
      <c r="AA2" s="30" t="str">
        <f>INDEX($A$5:$B$46,AA$3,2)</f>
        <v>East Africa</v>
      </c>
      <c r="AB2" s="30" t="str">
        <f>INDEX($A$5:$B$46,AB$3,2)</f>
        <v>Congo</v>
      </c>
      <c r="AC2" s="30" t="str">
        <f>INDEX($A$5:$B$46,AC$3,2)</f>
        <v>South Africa</v>
      </c>
      <c r="AD2" s="30" t="str">
        <f>INDEX($A$5:$B$46,AD$3,2)</f>
        <v>Madagascar</v>
      </c>
      <c r="AE2" s="30" t="str">
        <f>INDEX($A$5:$B$46,AE$3,2)</f>
        <v>Ural</v>
      </c>
      <c r="AF2" s="30" t="str">
        <f>INDEX($A$5:$B$46,AF$3,2)</f>
        <v>Siberia</v>
      </c>
      <c r="AG2" s="30" t="str">
        <f>INDEX($A$5:$B$46,AG$3,2)</f>
        <v>Yakutsk</v>
      </c>
      <c r="AH2" s="30" t="str">
        <f>INDEX($A$5:$B$46,AH$3,2)</f>
        <v>Kamchatka</v>
      </c>
      <c r="AI2" s="30" t="str">
        <f>INDEX($A$5:$B$46,AI$3,2)</f>
        <v>Irkutsk</v>
      </c>
      <c r="AJ2" s="30" t="str">
        <f>INDEX($A$5:$B$46,AJ$3,2)</f>
        <v>Kazakhstan</v>
      </c>
      <c r="AK2" s="30" t="str">
        <f>INDEX($A$5:$B$46,AK$3,2)</f>
        <v>China</v>
      </c>
      <c r="AL2" s="30" t="str">
        <f>INDEX($A$5:$B$46,AL$3,2)</f>
        <v>Mongolia</v>
      </c>
      <c r="AM2" s="30" t="str">
        <f>INDEX($A$5:$B$46,AM$3,2)</f>
        <v>Japan</v>
      </c>
      <c r="AN2" s="30" t="str">
        <f>INDEX($A$5:$B$46,AN$3,2)</f>
        <v>Middle East</v>
      </c>
      <c r="AO2" s="30" t="str">
        <f>INDEX($A$5:$B$46,AO$3,2)</f>
        <v>India</v>
      </c>
      <c r="AP2" s="30" t="str">
        <f>INDEX($A$5:$B$46,AP$3,2)</f>
        <v>Siam</v>
      </c>
      <c r="AQ2" s="30" t="str">
        <f>INDEX($A$5:$B$46,AQ$3,2)</f>
        <v>Indonesia</v>
      </c>
      <c r="AR2" s="30" t="str">
        <f>INDEX($A$5:$B$46,AR$3,2)</f>
        <v>New Guinea</v>
      </c>
      <c r="AS2" s="30" t="str">
        <f>INDEX($A$5:$B$46,AS$3,2)</f>
        <v>Western Australia</v>
      </c>
      <c r="AT2" s="30" t="str">
        <f>INDEX($A$5:$B$46,AT$3,2)</f>
        <v>Eastern Australia</v>
      </c>
    </row>
    <row r="3" spans="1:46" collapsed="1" x14ac:dyDescent="0.25">
      <c r="E3" s="32">
        <v>1</v>
      </c>
      <c r="F3" s="32">
        <v>2</v>
      </c>
      <c r="G3" s="32">
        <v>3</v>
      </c>
      <c r="H3" s="32">
        <v>4</v>
      </c>
      <c r="I3" s="32">
        <v>5</v>
      </c>
      <c r="J3" s="32">
        <v>6</v>
      </c>
      <c r="K3" s="32">
        <v>7</v>
      </c>
      <c r="L3" s="32">
        <v>8</v>
      </c>
      <c r="M3" s="32">
        <v>9</v>
      </c>
      <c r="N3" s="32">
        <v>10</v>
      </c>
      <c r="O3" s="32">
        <v>11</v>
      </c>
      <c r="P3" s="32">
        <v>12</v>
      </c>
      <c r="Q3" s="32">
        <v>13</v>
      </c>
      <c r="R3" s="32">
        <v>14</v>
      </c>
      <c r="S3" s="32">
        <v>15</v>
      </c>
      <c r="T3" s="32">
        <v>16</v>
      </c>
      <c r="U3" s="32">
        <v>17</v>
      </c>
      <c r="V3" s="32">
        <v>18</v>
      </c>
      <c r="W3" s="32">
        <v>19</v>
      </c>
      <c r="X3" s="32">
        <v>20</v>
      </c>
      <c r="Y3" s="32">
        <v>21</v>
      </c>
      <c r="Z3" s="32">
        <v>22</v>
      </c>
      <c r="AA3" s="32">
        <v>23</v>
      </c>
      <c r="AB3" s="32">
        <v>24</v>
      </c>
      <c r="AC3" s="32">
        <v>25</v>
      </c>
      <c r="AD3" s="32">
        <v>26</v>
      </c>
      <c r="AE3" s="32">
        <v>27</v>
      </c>
      <c r="AF3" s="32">
        <v>28</v>
      </c>
      <c r="AG3" s="32">
        <v>29</v>
      </c>
      <c r="AH3" s="32">
        <v>30</v>
      </c>
      <c r="AI3" s="32">
        <v>31</v>
      </c>
      <c r="AJ3" s="32">
        <v>32</v>
      </c>
      <c r="AK3" s="32">
        <v>33</v>
      </c>
      <c r="AL3" s="32">
        <v>34</v>
      </c>
      <c r="AM3" s="32">
        <v>35</v>
      </c>
      <c r="AN3" s="32">
        <v>36</v>
      </c>
      <c r="AO3" s="32">
        <v>37</v>
      </c>
      <c r="AP3" s="32">
        <v>38</v>
      </c>
      <c r="AQ3" s="32">
        <v>39</v>
      </c>
      <c r="AR3" s="32">
        <v>40</v>
      </c>
      <c r="AS3" s="32">
        <v>41</v>
      </c>
      <c r="AT3" s="32">
        <v>42</v>
      </c>
    </row>
    <row r="5" spans="1:46" x14ac:dyDescent="0.25">
      <c r="A5" s="31" t="s">
        <v>90</v>
      </c>
      <c r="B5" s="31" t="s">
        <v>48</v>
      </c>
      <c r="C5" s="32">
        <v>1</v>
      </c>
      <c r="E5" s="7">
        <v>0</v>
      </c>
      <c r="F5" s="7">
        <v>1</v>
      </c>
      <c r="G5" s="7"/>
      <c r="H5" s="7">
        <v>1</v>
      </c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>
        <v>1</v>
      </c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</row>
    <row r="6" spans="1:46" x14ac:dyDescent="0.25">
      <c r="A6" s="31" t="s">
        <v>90</v>
      </c>
      <c r="B6" s="31" t="s">
        <v>49</v>
      </c>
      <c r="C6" s="32">
        <v>2</v>
      </c>
      <c r="E6" s="7">
        <v>1</v>
      </c>
      <c r="F6" s="7">
        <v>0</v>
      </c>
      <c r="G6" s="7">
        <v>1</v>
      </c>
      <c r="H6" s="7">
        <v>1</v>
      </c>
      <c r="I6" s="7">
        <v>1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</row>
    <row r="7" spans="1:46" x14ac:dyDescent="0.25">
      <c r="A7" s="31" t="s">
        <v>90</v>
      </c>
      <c r="B7" s="31" t="s">
        <v>50</v>
      </c>
      <c r="C7" s="32">
        <v>3</v>
      </c>
      <c r="E7" s="7"/>
      <c r="F7" s="7">
        <v>1</v>
      </c>
      <c r="G7" s="7">
        <v>0</v>
      </c>
      <c r="H7" s="7"/>
      <c r="I7" s="7">
        <v>1</v>
      </c>
      <c r="J7" s="7">
        <v>1</v>
      </c>
      <c r="K7" s="7"/>
      <c r="L7" s="7"/>
      <c r="M7" s="7"/>
      <c r="N7" s="7"/>
      <c r="O7" s="7"/>
      <c r="P7" s="7"/>
      <c r="Q7" s="7"/>
      <c r="R7" s="7">
        <v>1</v>
      </c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</row>
    <row r="8" spans="1:46" x14ac:dyDescent="0.25">
      <c r="A8" s="31" t="s">
        <v>90</v>
      </c>
      <c r="B8" s="31" t="s">
        <v>51</v>
      </c>
      <c r="C8" s="32">
        <v>4</v>
      </c>
      <c r="E8" s="7">
        <v>1</v>
      </c>
      <c r="F8" s="7">
        <v>1</v>
      </c>
      <c r="G8" s="7"/>
      <c r="H8" s="7">
        <v>0</v>
      </c>
      <c r="I8" s="7">
        <v>1</v>
      </c>
      <c r="J8" s="7"/>
      <c r="K8" s="7">
        <v>1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</row>
    <row r="9" spans="1:46" x14ac:dyDescent="0.25">
      <c r="A9" s="31" t="s">
        <v>90</v>
      </c>
      <c r="B9" s="31" t="s">
        <v>52</v>
      </c>
      <c r="C9" s="32">
        <v>5</v>
      </c>
      <c r="E9" s="7"/>
      <c r="F9" s="7">
        <v>1</v>
      </c>
      <c r="G9" s="7">
        <v>1</v>
      </c>
      <c r="H9" s="7">
        <v>1</v>
      </c>
      <c r="I9" s="7">
        <v>0</v>
      </c>
      <c r="J9" s="7">
        <v>1</v>
      </c>
      <c r="K9" s="7">
        <v>1</v>
      </c>
      <c r="L9" s="7">
        <v>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</row>
    <row r="10" spans="1:46" x14ac:dyDescent="0.25">
      <c r="A10" s="31" t="s">
        <v>90</v>
      </c>
      <c r="B10" s="31" t="s">
        <v>53</v>
      </c>
      <c r="C10" s="32">
        <v>6</v>
      </c>
      <c r="E10" s="7"/>
      <c r="F10" s="7"/>
      <c r="G10" s="7">
        <v>1</v>
      </c>
      <c r="H10" s="7"/>
      <c r="I10" s="7">
        <v>1</v>
      </c>
      <c r="J10" s="7">
        <v>0</v>
      </c>
      <c r="K10" s="7"/>
      <c r="L10" s="7">
        <v>1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</row>
    <row r="11" spans="1:46" x14ac:dyDescent="0.25">
      <c r="A11" s="31" t="s">
        <v>90</v>
      </c>
      <c r="B11" s="31" t="s">
        <v>54</v>
      </c>
      <c r="C11" s="32">
        <v>7</v>
      </c>
      <c r="E11" s="7"/>
      <c r="F11" s="7"/>
      <c r="G11" s="7"/>
      <c r="H11" s="7">
        <v>1</v>
      </c>
      <c r="I11" s="7">
        <v>1</v>
      </c>
      <c r="J11" s="7"/>
      <c r="K11" s="7">
        <v>0</v>
      </c>
      <c r="L11" s="7">
        <v>1</v>
      </c>
      <c r="M11" s="7">
        <v>1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</row>
    <row r="12" spans="1:46" x14ac:dyDescent="0.25">
      <c r="A12" s="31" t="s">
        <v>90</v>
      </c>
      <c r="B12" s="31" t="s">
        <v>55</v>
      </c>
      <c r="C12" s="32">
        <v>8</v>
      </c>
      <c r="E12" s="7"/>
      <c r="F12" s="7"/>
      <c r="G12" s="7"/>
      <c r="H12" s="7"/>
      <c r="I12" s="7">
        <v>1</v>
      </c>
      <c r="J12" s="7">
        <v>1</v>
      </c>
      <c r="K12" s="7">
        <v>1</v>
      </c>
      <c r="L12" s="7">
        <v>0</v>
      </c>
      <c r="M12" s="7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</row>
    <row r="13" spans="1:46" x14ac:dyDescent="0.25">
      <c r="A13" s="31" t="s">
        <v>90</v>
      </c>
      <c r="B13" s="31" t="s">
        <v>56</v>
      </c>
      <c r="C13" s="32">
        <v>9</v>
      </c>
      <c r="E13" s="7"/>
      <c r="F13" s="7"/>
      <c r="G13" s="7"/>
      <c r="H13" s="7"/>
      <c r="I13" s="7"/>
      <c r="J13" s="7"/>
      <c r="K13" s="7">
        <v>1</v>
      </c>
      <c r="L13" s="7">
        <v>1</v>
      </c>
      <c r="M13" s="7">
        <v>0</v>
      </c>
      <c r="N13" s="7">
        <v>1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x14ac:dyDescent="0.25">
      <c r="A14" s="31" t="s">
        <v>91</v>
      </c>
      <c r="B14" s="31" t="s">
        <v>57</v>
      </c>
      <c r="C14" s="32">
        <v>10</v>
      </c>
      <c r="E14" s="7"/>
      <c r="F14" s="7"/>
      <c r="G14" s="7"/>
      <c r="H14" s="7"/>
      <c r="I14" s="7"/>
      <c r="J14" s="7"/>
      <c r="K14" s="7"/>
      <c r="L14" s="7"/>
      <c r="M14" s="7">
        <v>1</v>
      </c>
      <c r="N14" s="7">
        <v>0</v>
      </c>
      <c r="O14" s="7">
        <v>1</v>
      </c>
      <c r="P14" s="7">
        <v>1</v>
      </c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x14ac:dyDescent="0.25">
      <c r="A15" s="31" t="s">
        <v>91</v>
      </c>
      <c r="B15" s="31" t="s">
        <v>58</v>
      </c>
      <c r="C15" s="32">
        <v>11</v>
      </c>
      <c r="E15" s="7"/>
      <c r="F15" s="7"/>
      <c r="G15" s="7"/>
      <c r="H15" s="7"/>
      <c r="I15" s="7"/>
      <c r="J15" s="7"/>
      <c r="K15" s="7"/>
      <c r="L15" s="7"/>
      <c r="M15" s="7"/>
      <c r="N15" s="7">
        <v>1</v>
      </c>
      <c r="O15" s="7">
        <v>0</v>
      </c>
      <c r="P15" s="7">
        <v>1</v>
      </c>
      <c r="Q15" s="7">
        <v>1</v>
      </c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x14ac:dyDescent="0.25">
      <c r="A16" s="31" t="s">
        <v>91</v>
      </c>
      <c r="B16" s="31" t="s">
        <v>59</v>
      </c>
      <c r="C16" s="32">
        <v>12</v>
      </c>
      <c r="E16" s="7"/>
      <c r="F16" s="7"/>
      <c r="G16" s="7"/>
      <c r="H16" s="7"/>
      <c r="I16" s="7"/>
      <c r="J16" s="7"/>
      <c r="K16" s="7"/>
      <c r="L16" s="7"/>
      <c r="M16" s="7"/>
      <c r="N16" s="7">
        <v>1</v>
      </c>
      <c r="O16" s="7">
        <v>1</v>
      </c>
      <c r="P16" s="7">
        <v>0</v>
      </c>
      <c r="Q16" s="7">
        <v>1</v>
      </c>
      <c r="R16" s="7"/>
      <c r="S16" s="7"/>
      <c r="T16" s="7"/>
      <c r="U16" s="7"/>
      <c r="V16" s="7"/>
      <c r="W16" s="7"/>
      <c r="X16" s="7"/>
      <c r="Y16" s="7">
        <v>1</v>
      </c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x14ac:dyDescent="0.25">
      <c r="A17" s="31" t="s">
        <v>91</v>
      </c>
      <c r="B17" s="31" t="s">
        <v>60</v>
      </c>
      <c r="C17" s="32">
        <v>13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>
        <v>1</v>
      </c>
      <c r="P17" s="7">
        <v>1</v>
      </c>
      <c r="Q17" s="7">
        <v>0</v>
      </c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x14ac:dyDescent="0.25">
      <c r="A18" s="31" t="s">
        <v>92</v>
      </c>
      <c r="B18" s="31" t="s">
        <v>61</v>
      </c>
      <c r="C18" s="32">
        <v>14</v>
      </c>
      <c r="E18" s="7"/>
      <c r="F18" s="7"/>
      <c r="G18" s="7">
        <v>1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>
        <v>0</v>
      </c>
      <c r="S18" s="7">
        <v>1</v>
      </c>
      <c r="T18" s="7">
        <v>1</v>
      </c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x14ac:dyDescent="0.25">
      <c r="A19" s="31" t="s">
        <v>92</v>
      </c>
      <c r="B19" s="31" t="s">
        <v>62</v>
      </c>
      <c r="C19" s="32">
        <v>15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>
        <v>1</v>
      </c>
      <c r="S19" s="7">
        <v>0</v>
      </c>
      <c r="T19" s="7">
        <v>1</v>
      </c>
      <c r="U19" s="7"/>
      <c r="V19" s="7">
        <v>1</v>
      </c>
      <c r="W19" s="7">
        <v>1</v>
      </c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x14ac:dyDescent="0.25">
      <c r="A20" s="31" t="s">
        <v>92</v>
      </c>
      <c r="B20" s="31" t="s">
        <v>63</v>
      </c>
      <c r="C20" s="32">
        <v>16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>
        <v>1</v>
      </c>
      <c r="S20" s="7">
        <v>1</v>
      </c>
      <c r="T20" s="7">
        <v>0</v>
      </c>
      <c r="U20" s="7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x14ac:dyDescent="0.25">
      <c r="A21" s="31" t="s">
        <v>92</v>
      </c>
      <c r="B21" s="31" t="s">
        <v>64</v>
      </c>
      <c r="C21" s="32">
        <v>17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>
        <v>1</v>
      </c>
      <c r="U21" s="7">
        <v>0</v>
      </c>
      <c r="V21" s="7"/>
      <c r="W21" s="7">
        <v>1</v>
      </c>
      <c r="X21" s="7">
        <v>1</v>
      </c>
      <c r="Y21" s="7"/>
      <c r="Z21" s="7"/>
      <c r="AA21" s="7"/>
      <c r="AB21" s="7"/>
      <c r="AC21" s="7"/>
      <c r="AD21" s="7"/>
      <c r="AE21" s="7">
        <v>1</v>
      </c>
      <c r="AF21" s="7"/>
      <c r="AG21" s="7"/>
      <c r="AH21" s="7"/>
      <c r="AI21" s="7"/>
      <c r="AJ21" s="7">
        <v>1</v>
      </c>
      <c r="AK21" s="7"/>
      <c r="AL21" s="7"/>
      <c r="AM21" s="7"/>
      <c r="AN21" s="7">
        <v>1</v>
      </c>
      <c r="AO21" s="7"/>
      <c r="AP21" s="7"/>
      <c r="AQ21" s="7"/>
      <c r="AR21" s="7"/>
      <c r="AS21" s="7"/>
      <c r="AT21" s="7"/>
    </row>
    <row r="22" spans="1:46" x14ac:dyDescent="0.25">
      <c r="A22" s="31" t="s">
        <v>92</v>
      </c>
      <c r="B22" s="31" t="s">
        <v>65</v>
      </c>
      <c r="C22" s="32">
        <v>18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>
        <v>1</v>
      </c>
      <c r="T22" s="7"/>
      <c r="U22" s="7"/>
      <c r="V22" s="7">
        <v>0</v>
      </c>
      <c r="W22" s="7">
        <v>1</v>
      </c>
      <c r="X22" s="7">
        <v>1</v>
      </c>
      <c r="Y22" s="7">
        <v>1</v>
      </c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x14ac:dyDescent="0.25">
      <c r="A23" s="31" t="s">
        <v>92</v>
      </c>
      <c r="B23" s="31" t="s">
        <v>66</v>
      </c>
      <c r="C23" s="32">
        <v>19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>
        <v>1</v>
      </c>
      <c r="T23" s="7"/>
      <c r="U23" s="7">
        <v>1</v>
      </c>
      <c r="V23" s="7">
        <v>1</v>
      </c>
      <c r="W23" s="7">
        <v>0</v>
      </c>
      <c r="X23" s="7">
        <v>1</v>
      </c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x14ac:dyDescent="0.25">
      <c r="A24" s="31" t="s">
        <v>92</v>
      </c>
      <c r="B24" s="31" t="s">
        <v>67</v>
      </c>
      <c r="C24" s="32">
        <v>20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>
        <v>1</v>
      </c>
      <c r="V24" s="7">
        <v>1</v>
      </c>
      <c r="W24" s="7">
        <v>1</v>
      </c>
      <c r="X24" s="7">
        <v>0</v>
      </c>
      <c r="Y24" s="7">
        <v>1</v>
      </c>
      <c r="Z24" s="7">
        <v>1</v>
      </c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>
        <v>1</v>
      </c>
      <c r="AO24" s="7"/>
      <c r="AP24" s="7"/>
      <c r="AQ24" s="7"/>
      <c r="AR24" s="7"/>
      <c r="AS24" s="7"/>
      <c r="AT24" s="7"/>
    </row>
    <row r="25" spans="1:46" x14ac:dyDescent="0.25">
      <c r="A25" s="31" t="s">
        <v>93</v>
      </c>
      <c r="B25" s="31" t="s">
        <v>68</v>
      </c>
      <c r="C25" s="32">
        <v>21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>
        <v>1</v>
      </c>
      <c r="Q25" s="7"/>
      <c r="R25" s="7"/>
      <c r="S25" s="7"/>
      <c r="T25" s="7"/>
      <c r="U25" s="7"/>
      <c r="V25" s="7">
        <v>1</v>
      </c>
      <c r="W25" s="7"/>
      <c r="X25" s="7">
        <v>1</v>
      </c>
      <c r="Y25" s="7">
        <v>0</v>
      </c>
      <c r="Z25" s="7">
        <v>1</v>
      </c>
      <c r="AA25" s="7">
        <v>1</v>
      </c>
      <c r="AB25" s="7">
        <v>1</v>
      </c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x14ac:dyDescent="0.25">
      <c r="A26" s="31" t="s">
        <v>93</v>
      </c>
      <c r="B26" s="31" t="s">
        <v>69</v>
      </c>
      <c r="C26" s="32">
        <v>22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>
        <v>1</v>
      </c>
      <c r="Y26" s="7">
        <v>1</v>
      </c>
      <c r="Z26" s="7">
        <v>0</v>
      </c>
      <c r="AA26" s="7">
        <v>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>
        <v>1</v>
      </c>
      <c r="AO26" s="7"/>
      <c r="AP26" s="7"/>
      <c r="AQ26" s="7"/>
      <c r="AR26" s="7"/>
      <c r="AS26" s="7"/>
      <c r="AT26" s="7"/>
    </row>
    <row r="27" spans="1:46" x14ac:dyDescent="0.25">
      <c r="A27" s="31" t="s">
        <v>93</v>
      </c>
      <c r="B27" s="31" t="s">
        <v>70</v>
      </c>
      <c r="C27" s="32">
        <v>23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>
        <v>1</v>
      </c>
      <c r="Z27" s="7">
        <v>1</v>
      </c>
      <c r="AA27" s="7">
        <v>0</v>
      </c>
      <c r="AB27" s="7">
        <v>1</v>
      </c>
      <c r="AC27" s="7">
        <v>1</v>
      </c>
      <c r="AD27" s="7">
        <v>1</v>
      </c>
      <c r="AE27" s="7"/>
      <c r="AF27" s="7"/>
      <c r="AG27" s="7"/>
      <c r="AH27" s="7"/>
      <c r="AI27" s="7"/>
      <c r="AJ27" s="7"/>
      <c r="AK27" s="7"/>
      <c r="AL27" s="7"/>
      <c r="AM27" s="7"/>
      <c r="AN27" s="7">
        <v>1</v>
      </c>
      <c r="AO27" s="7"/>
      <c r="AP27" s="7"/>
      <c r="AQ27" s="7"/>
      <c r="AR27" s="7"/>
      <c r="AS27" s="7"/>
      <c r="AT27" s="7"/>
    </row>
    <row r="28" spans="1:46" x14ac:dyDescent="0.25">
      <c r="A28" s="31" t="s">
        <v>93</v>
      </c>
      <c r="B28" s="31" t="s">
        <v>71</v>
      </c>
      <c r="C28" s="32">
        <v>24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>
        <v>1</v>
      </c>
      <c r="Z28" s="7"/>
      <c r="AA28" s="7">
        <v>1</v>
      </c>
      <c r="AB28" s="7">
        <v>0</v>
      </c>
      <c r="AC28" s="7">
        <v>1</v>
      </c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x14ac:dyDescent="0.25">
      <c r="A29" s="31" t="s">
        <v>93</v>
      </c>
      <c r="B29" s="31" t="s">
        <v>72</v>
      </c>
      <c r="C29" s="32">
        <v>25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>
        <v>1</v>
      </c>
      <c r="AB29" s="7">
        <v>1</v>
      </c>
      <c r="AC29" s="7">
        <v>0</v>
      </c>
      <c r="AD29" s="7">
        <v>1</v>
      </c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x14ac:dyDescent="0.25">
      <c r="A30" s="31" t="s">
        <v>93</v>
      </c>
      <c r="B30" s="31" t="s">
        <v>73</v>
      </c>
      <c r="C30" s="32">
        <v>26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>
        <v>1</v>
      </c>
      <c r="AB30" s="7"/>
      <c r="AC30" s="7">
        <v>1</v>
      </c>
      <c r="AD30" s="7">
        <v>0</v>
      </c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x14ac:dyDescent="0.25">
      <c r="A31" s="31" t="s">
        <v>94</v>
      </c>
      <c r="B31" s="31" t="s">
        <v>74</v>
      </c>
      <c r="C31" s="32">
        <v>27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>
        <v>0</v>
      </c>
      <c r="AF31" s="7">
        <v>1</v>
      </c>
      <c r="AG31" s="7"/>
      <c r="AH31" s="7"/>
      <c r="AI31" s="7"/>
      <c r="AJ31" s="7">
        <v>1</v>
      </c>
      <c r="AK31" s="7">
        <v>1</v>
      </c>
      <c r="AL31" s="7"/>
      <c r="AM31" s="7"/>
      <c r="AN31" s="7"/>
      <c r="AO31" s="7"/>
      <c r="AP31" s="7"/>
      <c r="AQ31" s="7"/>
      <c r="AR31" s="7"/>
      <c r="AS31" s="7"/>
      <c r="AT31" s="7"/>
    </row>
    <row r="32" spans="1:46" x14ac:dyDescent="0.25">
      <c r="A32" s="31" t="s">
        <v>94</v>
      </c>
      <c r="B32" s="31" t="s">
        <v>75</v>
      </c>
      <c r="C32" s="32">
        <v>28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>
        <v>1</v>
      </c>
      <c r="AF32" s="7">
        <v>0</v>
      </c>
      <c r="AG32" s="7">
        <v>1</v>
      </c>
      <c r="AH32" s="7"/>
      <c r="AI32" s="7">
        <v>1</v>
      </c>
      <c r="AJ32" s="7"/>
      <c r="AK32" s="7">
        <v>1</v>
      </c>
      <c r="AL32" s="7">
        <v>1</v>
      </c>
      <c r="AM32" s="7"/>
      <c r="AN32" s="7"/>
      <c r="AO32" s="7"/>
      <c r="AP32" s="7"/>
      <c r="AQ32" s="7"/>
      <c r="AR32" s="7"/>
      <c r="AS32" s="7"/>
      <c r="AT32" s="7"/>
    </row>
    <row r="33" spans="1:46" x14ac:dyDescent="0.25">
      <c r="A33" s="31" t="s">
        <v>94</v>
      </c>
      <c r="B33" s="31" t="s">
        <v>76</v>
      </c>
      <c r="C33" s="32">
        <v>29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>
        <v>1</v>
      </c>
      <c r="AG33" s="7">
        <v>0</v>
      </c>
      <c r="AH33" s="7">
        <v>1</v>
      </c>
      <c r="AI33" s="7">
        <v>1</v>
      </c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x14ac:dyDescent="0.25">
      <c r="A34" s="31" t="s">
        <v>94</v>
      </c>
      <c r="B34" s="31" t="s">
        <v>77</v>
      </c>
      <c r="C34" s="32">
        <v>30</v>
      </c>
      <c r="E34" s="7">
        <v>1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7">
        <v>0</v>
      </c>
      <c r="AI34" s="7">
        <v>1</v>
      </c>
      <c r="AJ34" s="7"/>
      <c r="AK34" s="7"/>
      <c r="AL34" s="7">
        <v>1</v>
      </c>
      <c r="AM34" s="7">
        <v>1</v>
      </c>
      <c r="AN34" s="7"/>
      <c r="AO34" s="7"/>
      <c r="AP34" s="7"/>
      <c r="AQ34" s="7"/>
      <c r="AR34" s="7"/>
      <c r="AS34" s="7"/>
      <c r="AT34" s="7"/>
    </row>
    <row r="35" spans="1:46" x14ac:dyDescent="0.25">
      <c r="A35" s="31" t="s">
        <v>94</v>
      </c>
      <c r="B35" s="31" t="s">
        <v>78</v>
      </c>
      <c r="C35" s="32">
        <v>31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>
        <v>1</v>
      </c>
      <c r="AG35" s="7">
        <v>1</v>
      </c>
      <c r="AH35" s="7">
        <v>1</v>
      </c>
      <c r="AI35" s="7">
        <v>0</v>
      </c>
      <c r="AJ35" s="7"/>
      <c r="AK35" s="7"/>
      <c r="AL35" s="7">
        <v>1</v>
      </c>
      <c r="AM35" s="7"/>
      <c r="AN35" s="7"/>
      <c r="AO35" s="7"/>
      <c r="AP35" s="7"/>
      <c r="AQ35" s="7"/>
      <c r="AR35" s="7"/>
      <c r="AS35" s="7"/>
      <c r="AT35" s="7"/>
    </row>
    <row r="36" spans="1:46" x14ac:dyDescent="0.25">
      <c r="A36" s="31" t="s">
        <v>94</v>
      </c>
      <c r="B36" s="31" t="s">
        <v>79</v>
      </c>
      <c r="C36" s="32">
        <v>32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>
        <v>1</v>
      </c>
      <c r="AF36" s="7"/>
      <c r="AG36" s="7"/>
      <c r="AH36" s="7"/>
      <c r="AI36" s="7"/>
      <c r="AJ36" s="7">
        <v>0</v>
      </c>
      <c r="AK36" s="7">
        <v>1</v>
      </c>
      <c r="AL36" s="7"/>
      <c r="AM36" s="7"/>
      <c r="AN36" s="7">
        <v>1</v>
      </c>
      <c r="AO36" s="7">
        <v>1</v>
      </c>
      <c r="AP36" s="7"/>
      <c r="AQ36" s="7"/>
      <c r="AR36" s="7"/>
      <c r="AS36" s="7"/>
      <c r="AT36" s="7"/>
    </row>
    <row r="37" spans="1:46" x14ac:dyDescent="0.25">
      <c r="A37" s="31" t="s">
        <v>94</v>
      </c>
      <c r="B37" s="31" t="s">
        <v>80</v>
      </c>
      <c r="C37" s="32">
        <v>33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>
        <v>1</v>
      </c>
      <c r="AF37" s="7">
        <v>1</v>
      </c>
      <c r="AG37" s="7"/>
      <c r="AH37" s="7"/>
      <c r="AI37" s="7"/>
      <c r="AJ37" s="7">
        <v>1</v>
      </c>
      <c r="AK37" s="7">
        <v>0</v>
      </c>
      <c r="AL37" s="7">
        <v>1</v>
      </c>
      <c r="AM37" s="7"/>
      <c r="AN37" s="7"/>
      <c r="AO37" s="7">
        <v>1</v>
      </c>
      <c r="AP37" s="7">
        <v>1</v>
      </c>
      <c r="AQ37" s="7"/>
      <c r="AR37" s="7"/>
      <c r="AS37" s="7"/>
      <c r="AT37" s="7"/>
    </row>
    <row r="38" spans="1:46" x14ac:dyDescent="0.25">
      <c r="A38" s="31" t="s">
        <v>94</v>
      </c>
      <c r="B38" s="31" t="s">
        <v>81</v>
      </c>
      <c r="C38" s="32">
        <v>34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>
        <v>1</v>
      </c>
      <c r="AG38" s="7"/>
      <c r="AH38" s="7">
        <v>1</v>
      </c>
      <c r="AI38" s="7">
        <v>1</v>
      </c>
      <c r="AJ38" s="7"/>
      <c r="AK38" s="7">
        <v>1</v>
      </c>
      <c r="AL38" s="7">
        <v>0</v>
      </c>
      <c r="AM38" s="7">
        <v>1</v>
      </c>
      <c r="AN38" s="7"/>
      <c r="AO38" s="7"/>
      <c r="AP38" s="7"/>
      <c r="AQ38" s="7"/>
      <c r="AR38" s="7"/>
      <c r="AS38" s="7"/>
      <c r="AT38" s="7"/>
    </row>
    <row r="39" spans="1:46" x14ac:dyDescent="0.25">
      <c r="A39" s="31" t="s">
        <v>94</v>
      </c>
      <c r="B39" s="31" t="s">
        <v>82</v>
      </c>
      <c r="C39" s="32">
        <v>35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>
        <v>1</v>
      </c>
      <c r="AI39" s="7"/>
      <c r="AJ39" s="7"/>
      <c r="AK39" s="7"/>
      <c r="AL39" s="7">
        <v>1</v>
      </c>
      <c r="AM39" s="7">
        <v>0</v>
      </c>
      <c r="AN39" s="7"/>
      <c r="AO39" s="7"/>
      <c r="AP39" s="7"/>
      <c r="AQ39" s="7"/>
      <c r="AR39" s="7"/>
      <c r="AS39" s="7"/>
      <c r="AT39" s="7"/>
    </row>
    <row r="40" spans="1:46" x14ac:dyDescent="0.25">
      <c r="A40" s="31" t="s">
        <v>94</v>
      </c>
      <c r="B40" s="31" t="s">
        <v>83</v>
      </c>
      <c r="C40" s="32">
        <v>36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>
        <v>1</v>
      </c>
      <c r="V40" s="7"/>
      <c r="W40" s="7"/>
      <c r="X40" s="7">
        <v>1</v>
      </c>
      <c r="Y40" s="7"/>
      <c r="Z40" s="7">
        <v>1</v>
      </c>
      <c r="AA40" s="7">
        <v>1</v>
      </c>
      <c r="AB40" s="7"/>
      <c r="AC40" s="7"/>
      <c r="AD40" s="7"/>
      <c r="AE40" s="7"/>
      <c r="AF40" s="7"/>
      <c r="AG40" s="7"/>
      <c r="AH40" s="7"/>
      <c r="AI40" s="7"/>
      <c r="AJ40" s="7">
        <v>1</v>
      </c>
      <c r="AK40" s="7"/>
      <c r="AL40" s="7"/>
      <c r="AM40" s="7"/>
      <c r="AN40" s="7">
        <v>0</v>
      </c>
      <c r="AO40" s="7">
        <v>1</v>
      </c>
      <c r="AP40" s="7"/>
      <c r="AQ40" s="7"/>
      <c r="AR40" s="7"/>
      <c r="AS40" s="7"/>
      <c r="AT40" s="7"/>
    </row>
    <row r="41" spans="1:46" x14ac:dyDescent="0.25">
      <c r="A41" s="31" t="s">
        <v>94</v>
      </c>
      <c r="B41" s="31" t="s">
        <v>84</v>
      </c>
      <c r="C41" s="32">
        <v>37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>
        <v>1</v>
      </c>
      <c r="AK41" s="7">
        <v>1</v>
      </c>
      <c r="AL41" s="7"/>
      <c r="AM41" s="7"/>
      <c r="AN41" s="7">
        <v>1</v>
      </c>
      <c r="AO41" s="7">
        <v>0</v>
      </c>
      <c r="AP41" s="7">
        <v>1</v>
      </c>
      <c r="AQ41" s="7"/>
      <c r="AR41" s="7"/>
      <c r="AS41" s="7"/>
      <c r="AT41" s="7"/>
    </row>
    <row r="42" spans="1:46" x14ac:dyDescent="0.25">
      <c r="A42" s="31" t="s">
        <v>94</v>
      </c>
      <c r="B42" s="31" t="s">
        <v>85</v>
      </c>
      <c r="C42" s="32">
        <v>38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>
        <v>1</v>
      </c>
      <c r="AL42" s="7"/>
      <c r="AM42" s="7"/>
      <c r="AN42" s="7"/>
      <c r="AO42" s="7">
        <v>1</v>
      </c>
      <c r="AP42" s="7">
        <v>0</v>
      </c>
      <c r="AQ42" s="7">
        <v>1</v>
      </c>
      <c r="AR42" s="7"/>
      <c r="AS42" s="7"/>
      <c r="AT42" s="7"/>
    </row>
    <row r="43" spans="1:46" x14ac:dyDescent="0.25">
      <c r="A43" s="31" t="s">
        <v>95</v>
      </c>
      <c r="B43" s="31" t="s">
        <v>86</v>
      </c>
      <c r="C43" s="32">
        <v>39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>
        <v>1</v>
      </c>
      <c r="AQ43" s="7">
        <v>0</v>
      </c>
      <c r="AR43" s="7">
        <v>1</v>
      </c>
      <c r="AS43" s="7">
        <v>1</v>
      </c>
      <c r="AT43" s="7"/>
    </row>
    <row r="44" spans="1:46" x14ac:dyDescent="0.25">
      <c r="A44" s="31" t="s">
        <v>95</v>
      </c>
      <c r="B44" s="31" t="s">
        <v>87</v>
      </c>
      <c r="C44" s="32">
        <v>40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>
        <v>1</v>
      </c>
      <c r="AR44" s="7">
        <v>0</v>
      </c>
      <c r="AS44" s="7">
        <v>1</v>
      </c>
      <c r="AT44" s="7">
        <v>1</v>
      </c>
    </row>
    <row r="45" spans="1:46" x14ac:dyDescent="0.25">
      <c r="A45" s="31" t="s">
        <v>95</v>
      </c>
      <c r="B45" s="31" t="s">
        <v>88</v>
      </c>
      <c r="C45" s="32">
        <v>41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>
        <v>1</v>
      </c>
      <c r="AR45" s="7">
        <v>1</v>
      </c>
      <c r="AS45" s="7">
        <v>0</v>
      </c>
      <c r="AT45" s="7">
        <v>1</v>
      </c>
    </row>
    <row r="46" spans="1:46" x14ac:dyDescent="0.25">
      <c r="A46" s="31" t="s">
        <v>95</v>
      </c>
      <c r="B46" s="31" t="s">
        <v>89</v>
      </c>
      <c r="C46" s="32">
        <v>42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>
        <v>1</v>
      </c>
      <c r="AS46" s="7">
        <v>1</v>
      </c>
      <c r="AT46" s="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Blad1</vt:lpstr>
      <vt:lpstr>Blad4</vt:lpstr>
      <vt:lpstr>Blad3</vt:lpstr>
      <vt:lpstr>Blad2</vt:lpstr>
      <vt:lpstr>Landen</vt:lpstr>
      <vt:lpstr>Blad7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Blok12</dc:creator>
  <cp:lastModifiedBy>Blokland</cp:lastModifiedBy>
  <dcterms:created xsi:type="dcterms:W3CDTF">2014-03-08T21:16:34Z</dcterms:created>
  <dcterms:modified xsi:type="dcterms:W3CDTF">2014-03-12T12:02:32Z</dcterms:modified>
</cp:coreProperties>
</file>