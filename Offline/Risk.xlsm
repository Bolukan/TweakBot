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120" windowWidth="10500" windowHeight="6888"/>
  </bookViews>
  <sheets>
    <sheet name="Blad1" sheetId="1" r:id="rId1"/>
  </sheets>
  <calcPr calcId="145621" iterate="1"/>
</workbook>
</file>

<file path=xl/calcChain.xml><?xml version="1.0" encoding="utf-8"?>
<calcChain xmlns="http://schemas.openxmlformats.org/spreadsheetml/2006/main">
  <c r="A54" i="1" l="1"/>
  <c r="A55" i="1"/>
  <c r="A56" i="1"/>
  <c r="A57" i="1"/>
  <c r="A58" i="1"/>
  <c r="A53" i="1"/>
  <c r="AU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D114" i="1"/>
  <c r="D61" i="1" l="1"/>
  <c r="D62" i="1"/>
  <c r="D63" i="1"/>
  <c r="D64" i="1"/>
  <c r="D65" i="1"/>
  <c r="D60" i="1"/>
  <c r="B54" i="1"/>
  <c r="B55" i="1"/>
  <c r="B56" i="1"/>
  <c r="B57" i="1"/>
  <c r="B58" i="1"/>
  <c r="B53" i="1"/>
  <c r="E50" i="1" l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D50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D54" i="1"/>
  <c r="D55" i="1"/>
  <c r="D56" i="1"/>
  <c r="D57" i="1"/>
  <c r="D58" i="1"/>
  <c r="D53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7" i="1"/>
  <c r="AU55" i="1" l="1"/>
  <c r="AU53" i="1"/>
  <c r="AU57" i="1"/>
  <c r="AU54" i="1"/>
  <c r="AU58" i="1"/>
  <c r="AU56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W6" i="1"/>
  <c r="AW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AW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AW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AW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AW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AW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AW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AW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AW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AW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AW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AW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AW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AW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AW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AW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AW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AW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AW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AW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AW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AW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AW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AW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AW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AW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AW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AW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AW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AW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AW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AW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AW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AW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AW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AW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AW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AW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AW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AW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AW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AW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</calcChain>
</file>

<file path=xl/sharedStrings.xml><?xml version="1.0" encoding="utf-8"?>
<sst xmlns="http://schemas.openxmlformats.org/spreadsheetml/2006/main" count="96" uniqueCount="6">
  <si>
    <t>northAmerica</t>
  </si>
  <si>
    <t>southAmerica</t>
  </si>
  <si>
    <t>europe</t>
  </si>
  <si>
    <t>afrika</t>
  </si>
  <si>
    <t>azia</t>
  </si>
  <si>
    <t>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</si>
</sst>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;[Red]\-#,##0.00;\-;@"/>
    <numFmt numFmtId="165" formatCode="#,##0;[Red]\-#,##0;\-;@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2" xfId="0" applyNumberFormat="1" applyBorder="1"/>
    <xf numFmtId="9" fontId="0" fillId="0" borderId="0" xfId="0" applyNumberFormat="1"/>
    <xf numFmtId="0" fontId="0" fillId="3" borderId="2" xfId="0" applyFill="1" applyBorder="1"/>
    <xf numFmtId="0" fontId="0" fillId="3" borderId="0" xfId="0" applyFill="1"/>
    <xf numFmtId="0" fontId="0" fillId="4" borderId="2" xfId="0" applyFill="1" applyBorder="1"/>
    <xf numFmtId="0" fontId="0" fillId="4" borderId="0" xfId="0" applyFill="1" applyBorder="1"/>
    <xf numFmtId="0" fontId="0" fillId="4" borderId="1" xfId="0" applyFill="1" applyBorder="1"/>
    <xf numFmtId="164" fontId="0" fillId="2" borderId="0" xfId="0" applyNumberFormat="1" applyFill="1"/>
    <xf numFmtId="164" fontId="0" fillId="3" borderId="0" xfId="0" applyNumberFormat="1" applyFill="1"/>
    <xf numFmtId="165" fontId="0" fillId="4" borderId="2" xfId="0" applyNumberFormat="1" applyFill="1" applyBorder="1" applyAlignment="1">
      <alignment shrinkToFit="1"/>
    </xf>
    <xf numFmtId="165" fontId="0" fillId="4" borderId="0" xfId="0" applyNumberFormat="1" applyFill="1" applyBorder="1" applyAlignment="1">
      <alignment shrinkToFit="1"/>
    </xf>
    <xf numFmtId="165" fontId="0" fillId="4" borderId="1" xfId="0" applyNumberFormat="1" applyFill="1" applyBorder="1" applyAlignment="1">
      <alignment shrinkToFit="1"/>
    </xf>
    <xf numFmtId="165" fontId="0" fillId="4" borderId="0" xfId="0" applyNumberFormat="1" applyFill="1" applyAlignment="1">
      <alignment shrinkToFit="1"/>
    </xf>
    <xf numFmtId="0" fontId="0" fillId="5" borderId="2" xfId="0" applyFill="1" applyBorder="1" applyAlignment="1">
      <alignment shrinkToFit="1"/>
    </xf>
    <xf numFmtId="0" fontId="0" fillId="5" borderId="0" xfId="0" applyFill="1" applyBorder="1" applyAlignment="1">
      <alignment shrinkToFit="1"/>
    </xf>
    <xf numFmtId="0" fontId="0" fillId="5" borderId="1" xfId="0" applyFill="1" applyBorder="1" applyAlignment="1">
      <alignment shrinkToFit="1"/>
    </xf>
    <xf numFmtId="164" fontId="0" fillId="2" borderId="2" xfId="0" applyNumberFormat="1" applyFill="1" applyBorder="1" applyAlignment="1">
      <alignment shrinkToFit="1"/>
    </xf>
    <xf numFmtId="164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CN114"/>
  <sheetViews>
    <sheetView tabSelected="1" zoomScale="70" zoomScaleNormal="70" workbookViewId="0">
      <pane xSplit="3" ySplit="6" topLeftCell="D37" activePane="bottomRight" state="frozen"/>
      <selection pane="topRight" activeCell="C1" sqref="C1"/>
      <selection pane="bottomLeft" activeCell="A3" sqref="A3"/>
      <selection pane="bottomRight" activeCell="A53" sqref="A53:C58"/>
    </sheetView>
  </sheetViews>
  <sheetFormatPr defaultRowHeight="14.4" x14ac:dyDescent="0.3"/>
  <cols>
    <col min="2" max="2" width="6.33203125" customWidth="1"/>
    <col min="3" max="3" width="12.21875" bestFit="1" customWidth="1"/>
    <col min="4" max="4" width="2.6640625" style="3" customWidth="1"/>
    <col min="5" max="11" width="2.6640625" style="1" customWidth="1"/>
    <col min="12" max="12" width="2.6640625" style="2" customWidth="1"/>
    <col min="13" max="13" width="2.6640625" style="3" customWidth="1"/>
    <col min="14" max="15" width="2.6640625" style="1" customWidth="1"/>
    <col min="16" max="16" width="2.6640625" style="2" customWidth="1"/>
    <col min="17" max="17" width="2.6640625" style="3" customWidth="1"/>
    <col min="18" max="22" width="2.6640625" style="1" customWidth="1"/>
    <col min="23" max="23" width="2.6640625" style="2" customWidth="1"/>
    <col min="24" max="24" width="2.6640625" style="3" customWidth="1"/>
    <col min="25" max="28" width="2.6640625" style="1" customWidth="1"/>
    <col min="29" max="29" width="2.6640625" style="2" customWidth="1"/>
    <col min="30" max="30" width="2.6640625" style="3" customWidth="1"/>
    <col min="31" max="40" width="2.6640625" style="1" customWidth="1"/>
    <col min="41" max="41" width="2.6640625" style="2" customWidth="1"/>
    <col min="42" max="42" width="2.6640625" style="3" customWidth="1"/>
    <col min="43" max="44" width="2.6640625" style="1" customWidth="1"/>
    <col min="45" max="45" width="2.6640625" style="2" customWidth="1"/>
    <col min="46" max="46" width="3.109375" customWidth="1"/>
    <col min="47" max="47" width="6.21875" customWidth="1"/>
    <col min="48" max="48" width="3" customWidth="1"/>
    <col min="49" max="49" width="7.33203125" customWidth="1"/>
    <col min="50" max="92" width="2.6640625" customWidth="1"/>
  </cols>
  <sheetData>
    <row r="2" spans="1:92" x14ac:dyDescent="0.3">
      <c r="D2" s="8"/>
      <c r="E2" s="9"/>
      <c r="F2" s="9"/>
      <c r="G2" s="9"/>
      <c r="H2" s="9"/>
      <c r="I2" s="9"/>
      <c r="J2" s="9"/>
      <c r="K2" s="9"/>
      <c r="L2" s="10"/>
      <c r="M2" s="8"/>
      <c r="N2" s="9"/>
      <c r="O2" s="9"/>
      <c r="P2" s="10"/>
      <c r="Q2" s="8"/>
      <c r="R2" s="9"/>
      <c r="S2" s="9"/>
      <c r="T2" s="9"/>
      <c r="U2" s="9"/>
      <c r="V2" s="9"/>
      <c r="W2" s="10"/>
      <c r="X2" s="8"/>
      <c r="Y2" s="9"/>
      <c r="Z2" s="9"/>
      <c r="AA2" s="9"/>
      <c r="AB2" s="9"/>
      <c r="AC2" s="10"/>
      <c r="AD2" s="8"/>
      <c r="AE2" s="9"/>
      <c r="AF2" s="9"/>
      <c r="AG2" s="9"/>
      <c r="AH2" s="9"/>
      <c r="AI2" s="9"/>
      <c r="AJ2" s="9"/>
      <c r="AK2" s="9"/>
      <c r="AL2" s="9"/>
      <c r="AM2" s="9"/>
      <c r="AN2" s="9"/>
      <c r="AO2" s="10"/>
      <c r="AP2" s="8"/>
      <c r="AQ2" s="9"/>
      <c r="AR2" s="9"/>
      <c r="AS2" s="10">
        <v>1</v>
      </c>
    </row>
    <row r="3" spans="1:92" x14ac:dyDescent="0.3">
      <c r="D3" s="6">
        <f ca="1">INDEX($AW$7:$AW$48,D5,1)</f>
        <v>2.7993599999999997E-2</v>
      </c>
      <c r="E3" s="6">
        <f t="shared" ref="E3:AS3" ca="1" si="0">INDEX($AW$7:$AW$48,E5,1)</f>
        <v>1.6796159999999997E-2</v>
      </c>
      <c r="F3" s="6">
        <f t="shared" ca="1" si="0"/>
        <v>1.0077695999999999E-2</v>
      </c>
      <c r="G3" s="6">
        <f t="shared" ca="1" si="0"/>
        <v>1.6796159999999997E-2</v>
      </c>
      <c r="H3" s="6">
        <f t="shared" ca="1" si="0"/>
        <v>1.0077695999999999E-2</v>
      </c>
      <c r="I3" s="6">
        <f t="shared" ca="1" si="0"/>
        <v>6.0466175999999991E-3</v>
      </c>
      <c r="J3" s="6">
        <f t="shared" ca="1" si="0"/>
        <v>1.0077695999999999E-2</v>
      </c>
      <c r="K3" s="6">
        <f t="shared" ca="1" si="0"/>
        <v>6.0466175999999991E-3</v>
      </c>
      <c r="L3" s="6">
        <f t="shared" ca="1" si="0"/>
        <v>6.0466175999999991E-3</v>
      </c>
      <c r="M3" s="6">
        <f t="shared" ca="1" si="0"/>
        <v>1.0077695999999999E-2</v>
      </c>
      <c r="N3" s="6">
        <f t="shared" ca="1" si="0"/>
        <v>1.0077695999999999E-2</v>
      </c>
      <c r="O3" s="6">
        <f t="shared" ca="1" si="0"/>
        <v>1.6796159999999997E-2</v>
      </c>
      <c r="P3" s="6">
        <f t="shared" ca="1" si="0"/>
        <v>1.0077695999999999E-2</v>
      </c>
      <c r="Q3" s="6">
        <f t="shared" ca="1" si="0"/>
        <v>1.6796159999999997E-2</v>
      </c>
      <c r="R3" s="6">
        <f t="shared" ca="1" si="0"/>
        <v>1.6796159999999997E-2</v>
      </c>
      <c r="S3" s="6">
        <f t="shared" ca="1" si="0"/>
        <v>2.7993599999999997E-2</v>
      </c>
      <c r="T3" s="6">
        <f t="shared" ca="1" si="0"/>
        <v>4.6655999999999996E-2</v>
      </c>
      <c r="U3" s="6">
        <f t="shared" ca="1" si="0"/>
        <v>2.7993599999999997E-2</v>
      </c>
      <c r="V3" s="6">
        <f t="shared" ca="1" si="0"/>
        <v>2.7993599999999997E-2</v>
      </c>
      <c r="W3" s="6">
        <f t="shared" ca="1" si="0"/>
        <v>4.6655999999999996E-2</v>
      </c>
      <c r="X3" s="6">
        <f t="shared" ca="1" si="0"/>
        <v>2.7993599999999997E-2</v>
      </c>
      <c r="Y3" s="6">
        <f t="shared" ca="1" si="0"/>
        <v>4.6655999999999996E-2</v>
      </c>
      <c r="Z3" s="6">
        <f t="shared" ca="1" si="0"/>
        <v>4.6655999999999996E-2</v>
      </c>
      <c r="AA3" s="6">
        <f t="shared" ca="1" si="0"/>
        <v>2.7993599999999997E-2</v>
      </c>
      <c r="AB3" s="6">
        <f t="shared" ca="1" si="0"/>
        <v>2.7993599999999997E-2</v>
      </c>
      <c r="AC3" s="6">
        <f t="shared" ca="1" si="0"/>
        <v>2.7993599999999997E-2</v>
      </c>
      <c r="AD3" s="6">
        <f t="shared" ca="1" si="0"/>
        <v>7.7759999999999996E-2</v>
      </c>
      <c r="AE3" s="6">
        <f t="shared" ca="1" si="0"/>
        <v>7.7759999999999996E-2</v>
      </c>
      <c r="AF3" s="6">
        <f t="shared" ca="1" si="0"/>
        <v>4.6655999999999996E-2</v>
      </c>
      <c r="AG3" s="6">
        <f t="shared" ca="1" si="0"/>
        <v>4.6655999999999996E-2</v>
      </c>
      <c r="AH3" s="6">
        <f t="shared" ca="1" si="0"/>
        <v>4.6655999999999996E-2</v>
      </c>
      <c r="AI3" s="6">
        <f t="shared" ca="1" si="0"/>
        <v>7.7759999999999996E-2</v>
      </c>
      <c r="AJ3" s="6">
        <f t="shared" ca="1" si="0"/>
        <v>0.12959999999999999</v>
      </c>
      <c r="AK3" s="6">
        <f t="shared" ca="1" si="0"/>
        <v>7.7759999999999996E-2</v>
      </c>
      <c r="AL3" s="6">
        <f t="shared" ca="1" si="0"/>
        <v>4.6655999999999996E-2</v>
      </c>
      <c r="AM3" s="6">
        <f t="shared" ca="1" si="0"/>
        <v>7.7759999999999996E-2</v>
      </c>
      <c r="AN3" s="6">
        <f t="shared" ca="1" si="0"/>
        <v>0.12959999999999999</v>
      </c>
      <c r="AO3" s="6">
        <f t="shared" ca="1" si="0"/>
        <v>0.216</v>
      </c>
      <c r="AP3" s="6">
        <f t="shared" ca="1" si="0"/>
        <v>0.36</v>
      </c>
      <c r="AQ3" s="6">
        <f t="shared" ca="1" si="0"/>
        <v>0.6</v>
      </c>
      <c r="AR3" s="6">
        <f t="shared" ca="1" si="0"/>
        <v>0.6</v>
      </c>
      <c r="AS3" s="6">
        <f t="shared" ca="1" si="0"/>
        <v>0.36</v>
      </c>
    </row>
    <row r="4" spans="1:92" x14ac:dyDescent="0.3">
      <c r="C4" s="5"/>
      <c r="D4" s="20">
        <f ca="1">MAX(D2:D3)</f>
        <v>2.7993599999999997E-2</v>
      </c>
      <c r="E4" s="20">
        <f t="shared" ref="E4:AS4" ca="1" si="1">MAX(E2:E3)</f>
        <v>1.6796159999999997E-2</v>
      </c>
      <c r="F4" s="20">
        <f t="shared" ca="1" si="1"/>
        <v>1.0077695999999999E-2</v>
      </c>
      <c r="G4" s="20">
        <f t="shared" ca="1" si="1"/>
        <v>1.6796159999999997E-2</v>
      </c>
      <c r="H4" s="20">
        <f t="shared" ca="1" si="1"/>
        <v>1.0077695999999999E-2</v>
      </c>
      <c r="I4" s="20">
        <f t="shared" ca="1" si="1"/>
        <v>6.0466175999999991E-3</v>
      </c>
      <c r="J4" s="20">
        <f t="shared" ca="1" si="1"/>
        <v>1.0077695999999999E-2</v>
      </c>
      <c r="K4" s="20">
        <f t="shared" ca="1" si="1"/>
        <v>6.0466175999999991E-3</v>
      </c>
      <c r="L4" s="20">
        <f t="shared" ca="1" si="1"/>
        <v>6.0466175999999991E-3</v>
      </c>
      <c r="M4" s="20">
        <f t="shared" ca="1" si="1"/>
        <v>1.0077695999999999E-2</v>
      </c>
      <c r="N4" s="20">
        <f t="shared" ca="1" si="1"/>
        <v>1.0077695999999999E-2</v>
      </c>
      <c r="O4" s="20">
        <f t="shared" ca="1" si="1"/>
        <v>1.6796159999999997E-2</v>
      </c>
      <c r="P4" s="20">
        <f t="shared" ca="1" si="1"/>
        <v>1.0077695999999999E-2</v>
      </c>
      <c r="Q4" s="20">
        <f t="shared" ca="1" si="1"/>
        <v>1.6796159999999997E-2</v>
      </c>
      <c r="R4" s="20">
        <f t="shared" ca="1" si="1"/>
        <v>1.6796159999999997E-2</v>
      </c>
      <c r="S4" s="20">
        <f t="shared" ca="1" si="1"/>
        <v>2.7993599999999997E-2</v>
      </c>
      <c r="T4" s="20">
        <f t="shared" ca="1" si="1"/>
        <v>4.6655999999999996E-2</v>
      </c>
      <c r="U4" s="20">
        <f t="shared" ca="1" si="1"/>
        <v>2.7993599999999997E-2</v>
      </c>
      <c r="V4" s="20">
        <f t="shared" ca="1" si="1"/>
        <v>2.7993599999999997E-2</v>
      </c>
      <c r="W4" s="20">
        <f t="shared" ca="1" si="1"/>
        <v>4.6655999999999996E-2</v>
      </c>
      <c r="X4" s="20">
        <f t="shared" ca="1" si="1"/>
        <v>2.7993599999999997E-2</v>
      </c>
      <c r="Y4" s="20">
        <f t="shared" ca="1" si="1"/>
        <v>4.6655999999999996E-2</v>
      </c>
      <c r="Z4" s="20">
        <f t="shared" ca="1" si="1"/>
        <v>4.6655999999999996E-2</v>
      </c>
      <c r="AA4" s="20">
        <f t="shared" ca="1" si="1"/>
        <v>2.7993599999999997E-2</v>
      </c>
      <c r="AB4" s="20">
        <f t="shared" ca="1" si="1"/>
        <v>2.7993599999999997E-2</v>
      </c>
      <c r="AC4" s="20">
        <f t="shared" ca="1" si="1"/>
        <v>2.7993599999999997E-2</v>
      </c>
      <c r="AD4" s="20">
        <f t="shared" ca="1" si="1"/>
        <v>7.7759999999999996E-2</v>
      </c>
      <c r="AE4" s="20">
        <f t="shared" ca="1" si="1"/>
        <v>7.7759999999999996E-2</v>
      </c>
      <c r="AF4" s="20">
        <f t="shared" ca="1" si="1"/>
        <v>4.6655999999999996E-2</v>
      </c>
      <c r="AG4" s="20">
        <f t="shared" ca="1" si="1"/>
        <v>4.6655999999999996E-2</v>
      </c>
      <c r="AH4" s="20">
        <f t="shared" ca="1" si="1"/>
        <v>4.6655999999999996E-2</v>
      </c>
      <c r="AI4" s="20">
        <f t="shared" ca="1" si="1"/>
        <v>7.7759999999999996E-2</v>
      </c>
      <c r="AJ4" s="20">
        <f t="shared" ca="1" si="1"/>
        <v>0.12959999999999999</v>
      </c>
      <c r="AK4" s="20">
        <f t="shared" ca="1" si="1"/>
        <v>7.7759999999999996E-2</v>
      </c>
      <c r="AL4" s="20">
        <f t="shared" ca="1" si="1"/>
        <v>4.6655999999999996E-2</v>
      </c>
      <c r="AM4" s="20">
        <f t="shared" ca="1" si="1"/>
        <v>7.7759999999999996E-2</v>
      </c>
      <c r="AN4" s="20">
        <f t="shared" ca="1" si="1"/>
        <v>0.12959999999999999</v>
      </c>
      <c r="AO4" s="20">
        <f t="shared" ca="1" si="1"/>
        <v>0.216</v>
      </c>
      <c r="AP4" s="20">
        <f t="shared" ca="1" si="1"/>
        <v>0.36</v>
      </c>
      <c r="AQ4" s="20">
        <f t="shared" ca="1" si="1"/>
        <v>0.6</v>
      </c>
      <c r="AR4" s="20">
        <f t="shared" ca="1" si="1"/>
        <v>0.6</v>
      </c>
      <c r="AS4" s="20">
        <f t="shared" ca="1" si="1"/>
        <v>1</v>
      </c>
    </row>
    <row r="5" spans="1:92" x14ac:dyDescent="0.3">
      <c r="D5" s="17">
        <v>1</v>
      </c>
      <c r="E5" s="18">
        <v>2</v>
      </c>
      <c r="F5" s="18">
        <v>3</v>
      </c>
      <c r="G5" s="18">
        <v>4</v>
      </c>
      <c r="H5" s="18">
        <v>5</v>
      </c>
      <c r="I5" s="18">
        <v>6</v>
      </c>
      <c r="J5" s="18">
        <v>7</v>
      </c>
      <c r="K5" s="18">
        <v>8</v>
      </c>
      <c r="L5" s="19">
        <v>9</v>
      </c>
      <c r="M5" s="17">
        <v>10</v>
      </c>
      <c r="N5" s="18">
        <v>11</v>
      </c>
      <c r="O5" s="18">
        <v>12</v>
      </c>
      <c r="P5" s="19">
        <v>13</v>
      </c>
      <c r="Q5" s="17">
        <v>14</v>
      </c>
      <c r="R5" s="18">
        <v>15</v>
      </c>
      <c r="S5" s="18">
        <v>16</v>
      </c>
      <c r="T5" s="18">
        <v>17</v>
      </c>
      <c r="U5" s="18">
        <v>18</v>
      </c>
      <c r="V5" s="18">
        <v>19</v>
      </c>
      <c r="W5" s="19">
        <v>20</v>
      </c>
      <c r="X5" s="17">
        <v>21</v>
      </c>
      <c r="Y5" s="18">
        <v>22</v>
      </c>
      <c r="Z5" s="18">
        <v>23</v>
      </c>
      <c r="AA5" s="18">
        <v>24</v>
      </c>
      <c r="AB5" s="18">
        <v>25</v>
      </c>
      <c r="AC5" s="19">
        <v>26</v>
      </c>
      <c r="AD5" s="17">
        <v>27</v>
      </c>
      <c r="AE5" s="18">
        <v>28</v>
      </c>
      <c r="AF5" s="18">
        <v>29</v>
      </c>
      <c r="AG5" s="18">
        <v>30</v>
      </c>
      <c r="AH5" s="18">
        <v>31</v>
      </c>
      <c r="AI5" s="18">
        <v>32</v>
      </c>
      <c r="AJ5" s="18">
        <v>33</v>
      </c>
      <c r="AK5" s="18">
        <v>34</v>
      </c>
      <c r="AL5" s="18">
        <v>35</v>
      </c>
      <c r="AM5" s="18">
        <v>36</v>
      </c>
      <c r="AN5" s="18">
        <v>37</v>
      </c>
      <c r="AO5" s="19">
        <v>38</v>
      </c>
      <c r="AP5" s="17">
        <v>39</v>
      </c>
      <c r="AQ5" s="18">
        <v>40</v>
      </c>
      <c r="AR5" s="18">
        <v>41</v>
      </c>
      <c r="AS5" s="19">
        <v>42</v>
      </c>
      <c r="AW5" s="5">
        <v>0.6</v>
      </c>
      <c r="AY5" s="17">
        <v>1</v>
      </c>
      <c r="AZ5" s="18">
        <v>2</v>
      </c>
      <c r="BA5" s="18">
        <v>3</v>
      </c>
      <c r="BB5" s="18">
        <v>4</v>
      </c>
      <c r="BC5" s="18">
        <v>5</v>
      </c>
      <c r="BD5" s="18">
        <v>6</v>
      </c>
      <c r="BE5" s="18">
        <v>7</v>
      </c>
      <c r="BF5" s="18">
        <v>8</v>
      </c>
      <c r="BG5" s="19">
        <v>9</v>
      </c>
      <c r="BH5" s="17">
        <v>10</v>
      </c>
      <c r="BI5" s="18">
        <v>11</v>
      </c>
      <c r="BJ5" s="18">
        <v>12</v>
      </c>
      <c r="BK5" s="19">
        <v>13</v>
      </c>
      <c r="BL5" s="17">
        <v>14</v>
      </c>
      <c r="BM5" s="18">
        <v>15</v>
      </c>
      <c r="BN5" s="18">
        <v>16</v>
      </c>
      <c r="BO5" s="18">
        <v>17</v>
      </c>
      <c r="BP5" s="18">
        <v>18</v>
      </c>
      <c r="BQ5" s="18">
        <v>19</v>
      </c>
      <c r="BR5" s="19">
        <v>20</v>
      </c>
      <c r="BS5" s="17">
        <v>21</v>
      </c>
      <c r="BT5" s="18">
        <v>22</v>
      </c>
      <c r="BU5" s="18">
        <v>23</v>
      </c>
      <c r="BV5" s="18">
        <v>24</v>
      </c>
      <c r="BW5" s="18">
        <v>25</v>
      </c>
      <c r="BX5" s="19">
        <v>26</v>
      </c>
      <c r="BY5" s="17">
        <v>27</v>
      </c>
      <c r="BZ5" s="18">
        <v>28</v>
      </c>
      <c r="CA5" s="18">
        <v>29</v>
      </c>
      <c r="CB5" s="18">
        <v>30</v>
      </c>
      <c r="CC5" s="18">
        <v>31</v>
      </c>
      <c r="CD5" s="18">
        <v>32</v>
      </c>
      <c r="CE5" s="18">
        <v>33</v>
      </c>
      <c r="CF5" s="18">
        <v>34</v>
      </c>
      <c r="CG5" s="18">
        <v>35</v>
      </c>
      <c r="CH5" s="18">
        <v>36</v>
      </c>
      <c r="CI5" s="18">
        <v>37</v>
      </c>
      <c r="CJ5" s="19">
        <v>38</v>
      </c>
      <c r="CK5" s="17">
        <v>39</v>
      </c>
      <c r="CL5" s="18">
        <v>40</v>
      </c>
      <c r="CM5" s="18">
        <v>41</v>
      </c>
      <c r="CN5" s="19">
        <v>42</v>
      </c>
    </row>
    <row r="6" spans="1:92" x14ac:dyDescent="0.3">
      <c r="D6" s="3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 t="s">
        <v>0</v>
      </c>
      <c r="J6" s="1" t="s">
        <v>0</v>
      </c>
      <c r="K6" s="1" t="s">
        <v>0</v>
      </c>
      <c r="L6" s="2" t="s">
        <v>0</v>
      </c>
      <c r="M6" s="3" t="s">
        <v>1</v>
      </c>
      <c r="N6" s="1" t="s">
        <v>1</v>
      </c>
      <c r="O6" s="1" t="s">
        <v>1</v>
      </c>
      <c r="P6" s="2" t="s">
        <v>1</v>
      </c>
      <c r="Q6" s="3" t="s">
        <v>2</v>
      </c>
      <c r="R6" s="1" t="s">
        <v>2</v>
      </c>
      <c r="S6" s="1" t="s">
        <v>2</v>
      </c>
      <c r="T6" s="1" t="s">
        <v>2</v>
      </c>
      <c r="U6" s="1" t="s">
        <v>2</v>
      </c>
      <c r="V6" s="1" t="s">
        <v>2</v>
      </c>
      <c r="W6" s="2" t="s">
        <v>2</v>
      </c>
      <c r="X6" s="3" t="s">
        <v>3</v>
      </c>
      <c r="Y6" s="1" t="s">
        <v>3</v>
      </c>
      <c r="Z6" s="1" t="s">
        <v>3</v>
      </c>
      <c r="AA6" s="1" t="s">
        <v>3</v>
      </c>
      <c r="AB6" s="1" t="s">
        <v>3</v>
      </c>
      <c r="AC6" s="2" t="s">
        <v>3</v>
      </c>
      <c r="AD6" s="3" t="s">
        <v>4</v>
      </c>
      <c r="AE6" s="1" t="s">
        <v>4</v>
      </c>
      <c r="AF6" s="1" t="s">
        <v>4</v>
      </c>
      <c r="AG6" s="1" t="s">
        <v>4</v>
      </c>
      <c r="AH6" s="1" t="s">
        <v>4</v>
      </c>
      <c r="AI6" s="1" t="s">
        <v>4</v>
      </c>
      <c r="AJ6" s="1" t="s">
        <v>4</v>
      </c>
      <c r="AK6" s="1" t="s">
        <v>4</v>
      </c>
      <c r="AL6" s="1" t="s">
        <v>4</v>
      </c>
      <c r="AM6" s="1" t="s">
        <v>4</v>
      </c>
      <c r="AN6" s="1" t="s">
        <v>4</v>
      </c>
      <c r="AO6" s="2" t="s">
        <v>4</v>
      </c>
      <c r="AP6" s="3" t="s">
        <v>5</v>
      </c>
      <c r="AQ6" s="1" t="s">
        <v>5</v>
      </c>
      <c r="AR6" s="1" t="s">
        <v>5</v>
      </c>
      <c r="AS6" s="2" t="s">
        <v>5</v>
      </c>
      <c r="AW6" s="7">
        <f ca="1">SUMPRODUCT($D6:$AS6,$D$4:$AS$4)*$C$4</f>
        <v>0</v>
      </c>
    </row>
    <row r="7" spans="1:92" x14ac:dyDescent="0.3">
      <c r="A7" s="20">
        <v>8.5060863999999992</v>
      </c>
      <c r="B7">
        <v>1</v>
      </c>
      <c r="C7" t="s">
        <v>0</v>
      </c>
      <c r="D7" s="13">
        <v>0</v>
      </c>
      <c r="E7" s="14">
        <v>1</v>
      </c>
      <c r="F7" s="14">
        <v>0</v>
      </c>
      <c r="G7" s="14">
        <v>1</v>
      </c>
      <c r="H7" s="14">
        <v>0</v>
      </c>
      <c r="I7" s="14">
        <v>0</v>
      </c>
      <c r="J7" s="14">
        <v>0</v>
      </c>
      <c r="K7" s="14">
        <v>0</v>
      </c>
      <c r="L7" s="15">
        <v>0</v>
      </c>
      <c r="M7" s="13">
        <v>0</v>
      </c>
      <c r="N7" s="14">
        <v>0</v>
      </c>
      <c r="O7" s="14">
        <v>0</v>
      </c>
      <c r="P7" s="15">
        <v>0</v>
      </c>
      <c r="Q7" s="13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5">
        <v>0</v>
      </c>
      <c r="X7" s="13">
        <v>0</v>
      </c>
      <c r="Y7" s="14">
        <v>0</v>
      </c>
      <c r="Z7" s="14">
        <v>0</v>
      </c>
      <c r="AA7" s="14">
        <v>0</v>
      </c>
      <c r="AB7" s="14">
        <v>0</v>
      </c>
      <c r="AC7" s="15">
        <v>0</v>
      </c>
      <c r="AD7" s="13">
        <v>0</v>
      </c>
      <c r="AE7" s="14">
        <v>0</v>
      </c>
      <c r="AF7" s="14">
        <v>0</v>
      </c>
      <c r="AG7" s="14">
        <v>1</v>
      </c>
      <c r="AH7" s="14">
        <v>0</v>
      </c>
      <c r="AI7" s="14">
        <v>0</v>
      </c>
      <c r="AJ7" s="14">
        <v>0</v>
      </c>
      <c r="AK7" s="14">
        <v>0</v>
      </c>
      <c r="AL7" s="14">
        <v>0</v>
      </c>
      <c r="AM7" s="14">
        <v>0</v>
      </c>
      <c r="AN7" s="14">
        <v>0</v>
      </c>
      <c r="AO7" s="15">
        <v>0</v>
      </c>
      <c r="AP7" s="13">
        <v>0</v>
      </c>
      <c r="AQ7" s="14">
        <v>0</v>
      </c>
      <c r="AR7" s="14">
        <v>0</v>
      </c>
      <c r="AS7" s="15">
        <v>0</v>
      </c>
      <c r="AU7">
        <f>SUM(D7:AS7)</f>
        <v>3</v>
      </c>
      <c r="AW7" s="12">
        <f ca="1">MAX(AY7:CN7)</f>
        <v>2.7993599999999997E-2</v>
      </c>
      <c r="AY7" s="11">
        <f ca="1">D7*D$4*$AW$5</f>
        <v>0</v>
      </c>
      <c r="AZ7" s="11">
        <f t="shared" ref="AZ7:CN13" ca="1" si="2">E7*E$4*$AW$5</f>
        <v>1.0077695999999999E-2</v>
      </c>
      <c r="BA7" s="11">
        <f t="shared" ca="1" si="2"/>
        <v>0</v>
      </c>
      <c r="BB7" s="11">
        <f t="shared" ca="1" si="2"/>
        <v>1.0077695999999999E-2</v>
      </c>
      <c r="BC7" s="11">
        <f t="shared" ca="1" si="2"/>
        <v>0</v>
      </c>
      <c r="BD7" s="11">
        <f t="shared" ca="1" si="2"/>
        <v>0</v>
      </c>
      <c r="BE7" s="11">
        <f t="shared" ca="1" si="2"/>
        <v>0</v>
      </c>
      <c r="BF7" s="11">
        <f t="shared" ca="1" si="2"/>
        <v>0</v>
      </c>
      <c r="BG7" s="11">
        <f t="shared" ca="1" si="2"/>
        <v>0</v>
      </c>
      <c r="BH7" s="11">
        <f t="shared" ca="1" si="2"/>
        <v>0</v>
      </c>
      <c r="BI7" s="11">
        <f t="shared" ca="1" si="2"/>
        <v>0</v>
      </c>
      <c r="BJ7" s="11">
        <f t="shared" ca="1" si="2"/>
        <v>0</v>
      </c>
      <c r="BK7" s="11">
        <f t="shared" ca="1" si="2"/>
        <v>0</v>
      </c>
      <c r="BL7" s="11">
        <f t="shared" ca="1" si="2"/>
        <v>0</v>
      </c>
      <c r="BM7" s="11">
        <f t="shared" ca="1" si="2"/>
        <v>0</v>
      </c>
      <c r="BN7" s="11">
        <f t="shared" ca="1" si="2"/>
        <v>0</v>
      </c>
      <c r="BO7" s="11">
        <f t="shared" ca="1" si="2"/>
        <v>0</v>
      </c>
      <c r="BP7" s="11">
        <f t="shared" ca="1" si="2"/>
        <v>0</v>
      </c>
      <c r="BQ7" s="11">
        <f t="shared" ca="1" si="2"/>
        <v>0</v>
      </c>
      <c r="BR7" s="11">
        <f t="shared" ca="1" si="2"/>
        <v>0</v>
      </c>
      <c r="BS7" s="11">
        <f t="shared" ca="1" si="2"/>
        <v>0</v>
      </c>
      <c r="BT7" s="11">
        <f t="shared" ca="1" si="2"/>
        <v>0</v>
      </c>
      <c r="BU7" s="11">
        <f t="shared" ca="1" si="2"/>
        <v>0</v>
      </c>
      <c r="BV7" s="11">
        <f t="shared" ca="1" si="2"/>
        <v>0</v>
      </c>
      <c r="BW7" s="11">
        <f t="shared" ca="1" si="2"/>
        <v>0</v>
      </c>
      <c r="BX7" s="11">
        <f t="shared" ca="1" si="2"/>
        <v>0</v>
      </c>
      <c r="BY7" s="11">
        <f t="shared" ca="1" si="2"/>
        <v>0</v>
      </c>
      <c r="BZ7" s="11">
        <f t="shared" ca="1" si="2"/>
        <v>0</v>
      </c>
      <c r="CA7" s="11">
        <f t="shared" ca="1" si="2"/>
        <v>0</v>
      </c>
      <c r="CB7" s="11">
        <f t="shared" ca="1" si="2"/>
        <v>2.7993599999999997E-2</v>
      </c>
      <c r="CC7" s="11">
        <f t="shared" ca="1" si="2"/>
        <v>0</v>
      </c>
      <c r="CD7" s="11">
        <f t="shared" ca="1" si="2"/>
        <v>0</v>
      </c>
      <c r="CE7" s="11">
        <f t="shared" ca="1" si="2"/>
        <v>0</v>
      </c>
      <c r="CF7" s="11">
        <f t="shared" ca="1" si="2"/>
        <v>0</v>
      </c>
      <c r="CG7" s="11">
        <f t="shared" ca="1" si="2"/>
        <v>0</v>
      </c>
      <c r="CH7" s="11">
        <f t="shared" ca="1" si="2"/>
        <v>0</v>
      </c>
      <c r="CI7" s="11">
        <f t="shared" ca="1" si="2"/>
        <v>0</v>
      </c>
      <c r="CJ7" s="11">
        <f t="shared" ca="1" si="2"/>
        <v>0</v>
      </c>
      <c r="CK7" s="11">
        <f t="shared" ca="1" si="2"/>
        <v>0</v>
      </c>
      <c r="CL7" s="11">
        <f t="shared" ca="1" si="2"/>
        <v>0</v>
      </c>
      <c r="CM7" s="11">
        <f t="shared" ca="1" si="2"/>
        <v>0</v>
      </c>
      <c r="CN7" s="11">
        <f t="shared" ca="1" si="2"/>
        <v>0</v>
      </c>
    </row>
    <row r="8" spans="1:92" x14ac:dyDescent="0.3">
      <c r="A8" s="20">
        <v>8.5514905599999977</v>
      </c>
      <c r="B8">
        <v>2</v>
      </c>
      <c r="C8" t="s">
        <v>0</v>
      </c>
      <c r="D8" s="13">
        <v>1</v>
      </c>
      <c r="E8" s="14">
        <v>0</v>
      </c>
      <c r="F8" s="14">
        <v>1</v>
      </c>
      <c r="G8" s="14">
        <v>1</v>
      </c>
      <c r="H8" s="14">
        <v>1</v>
      </c>
      <c r="I8" s="14">
        <v>0</v>
      </c>
      <c r="J8" s="14">
        <v>0</v>
      </c>
      <c r="K8" s="14">
        <v>0</v>
      </c>
      <c r="L8" s="15">
        <v>0</v>
      </c>
      <c r="M8" s="13">
        <v>0</v>
      </c>
      <c r="N8" s="14">
        <v>0</v>
      </c>
      <c r="O8" s="14">
        <v>0</v>
      </c>
      <c r="P8" s="15">
        <v>0</v>
      </c>
      <c r="Q8" s="13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5">
        <v>0</v>
      </c>
      <c r="X8" s="13">
        <v>0</v>
      </c>
      <c r="Y8" s="14">
        <v>0</v>
      </c>
      <c r="Z8" s="14">
        <v>0</v>
      </c>
      <c r="AA8" s="14">
        <v>0</v>
      </c>
      <c r="AB8" s="14">
        <v>0</v>
      </c>
      <c r="AC8" s="15">
        <v>0</v>
      </c>
      <c r="AD8" s="13">
        <v>0</v>
      </c>
      <c r="AE8" s="14">
        <v>0</v>
      </c>
      <c r="AF8" s="14">
        <v>0</v>
      </c>
      <c r="AG8" s="14">
        <v>0</v>
      </c>
      <c r="AH8" s="14">
        <v>0</v>
      </c>
      <c r="AI8" s="14">
        <v>0</v>
      </c>
      <c r="AJ8" s="14">
        <v>0</v>
      </c>
      <c r="AK8" s="14">
        <v>0</v>
      </c>
      <c r="AL8" s="14">
        <v>0</v>
      </c>
      <c r="AM8" s="14">
        <v>0</v>
      </c>
      <c r="AN8" s="14">
        <v>0</v>
      </c>
      <c r="AO8" s="15">
        <v>0</v>
      </c>
      <c r="AP8" s="13">
        <v>0</v>
      </c>
      <c r="AQ8" s="14">
        <v>0</v>
      </c>
      <c r="AR8" s="14">
        <v>0</v>
      </c>
      <c r="AS8" s="15">
        <v>0</v>
      </c>
      <c r="AU8">
        <f t="shared" ref="AU8:AU48" si="3">SUM(D8:AS8)</f>
        <v>4</v>
      </c>
      <c r="AW8" s="12">
        <f t="shared" ref="AW8:AW48" ca="1" si="4">MAX(AY8:CN8)</f>
        <v>1.6796159999999997E-2</v>
      </c>
      <c r="AY8" s="11">
        <f t="shared" ref="AY8:AY48" ca="1" si="5">D8*D$4*$AW$5</f>
        <v>1.6796159999999997E-2</v>
      </c>
      <c r="AZ8" s="11">
        <f t="shared" ca="1" si="2"/>
        <v>0</v>
      </c>
      <c r="BA8" s="11">
        <f t="shared" ca="1" si="2"/>
        <v>6.0466175999999991E-3</v>
      </c>
      <c r="BB8" s="11">
        <f t="shared" ca="1" si="2"/>
        <v>1.0077695999999999E-2</v>
      </c>
      <c r="BC8" s="11">
        <f t="shared" ca="1" si="2"/>
        <v>6.0466175999999991E-3</v>
      </c>
      <c r="BD8" s="11">
        <f t="shared" ca="1" si="2"/>
        <v>0</v>
      </c>
      <c r="BE8" s="11">
        <f t="shared" ca="1" si="2"/>
        <v>0</v>
      </c>
      <c r="BF8" s="11">
        <f t="shared" ca="1" si="2"/>
        <v>0</v>
      </c>
      <c r="BG8" s="11">
        <f t="shared" ca="1" si="2"/>
        <v>0</v>
      </c>
      <c r="BH8" s="11">
        <f t="shared" ca="1" si="2"/>
        <v>0</v>
      </c>
      <c r="BI8" s="11">
        <f t="shared" ca="1" si="2"/>
        <v>0</v>
      </c>
      <c r="BJ8" s="11">
        <f t="shared" ca="1" si="2"/>
        <v>0</v>
      </c>
      <c r="BK8" s="11">
        <f t="shared" ca="1" si="2"/>
        <v>0</v>
      </c>
      <c r="BL8" s="11">
        <f t="shared" ca="1" si="2"/>
        <v>0</v>
      </c>
      <c r="BM8" s="11">
        <f t="shared" ca="1" si="2"/>
        <v>0</v>
      </c>
      <c r="BN8" s="11">
        <f t="shared" ca="1" si="2"/>
        <v>0</v>
      </c>
      <c r="BO8" s="11">
        <f t="shared" ca="1" si="2"/>
        <v>0</v>
      </c>
      <c r="BP8" s="11">
        <f t="shared" ca="1" si="2"/>
        <v>0</v>
      </c>
      <c r="BQ8" s="11">
        <f t="shared" ca="1" si="2"/>
        <v>0</v>
      </c>
      <c r="BR8" s="11">
        <f t="shared" ca="1" si="2"/>
        <v>0</v>
      </c>
      <c r="BS8" s="11">
        <f t="shared" ca="1" si="2"/>
        <v>0</v>
      </c>
      <c r="BT8" s="11">
        <f t="shared" ca="1" si="2"/>
        <v>0</v>
      </c>
      <c r="BU8" s="11">
        <f t="shared" ca="1" si="2"/>
        <v>0</v>
      </c>
      <c r="BV8" s="11">
        <f t="shared" ca="1" si="2"/>
        <v>0</v>
      </c>
      <c r="BW8" s="11">
        <f t="shared" ca="1" si="2"/>
        <v>0</v>
      </c>
      <c r="BX8" s="11">
        <f t="shared" ca="1" si="2"/>
        <v>0</v>
      </c>
      <c r="BY8" s="11">
        <f t="shared" ca="1" si="2"/>
        <v>0</v>
      </c>
      <c r="BZ8" s="11">
        <f t="shared" ca="1" si="2"/>
        <v>0</v>
      </c>
      <c r="CA8" s="11">
        <f t="shared" ca="1" si="2"/>
        <v>0</v>
      </c>
      <c r="CB8" s="11">
        <f t="shared" ca="1" si="2"/>
        <v>0</v>
      </c>
      <c r="CC8" s="11">
        <f t="shared" ca="1" si="2"/>
        <v>0</v>
      </c>
      <c r="CD8" s="11">
        <f t="shared" ca="1" si="2"/>
        <v>0</v>
      </c>
      <c r="CE8" s="11">
        <f t="shared" ca="1" si="2"/>
        <v>0</v>
      </c>
      <c r="CF8" s="11">
        <f t="shared" ca="1" si="2"/>
        <v>0</v>
      </c>
      <c r="CG8" s="11">
        <f t="shared" ca="1" si="2"/>
        <v>0</v>
      </c>
      <c r="CH8" s="11">
        <f t="shared" ca="1" si="2"/>
        <v>0</v>
      </c>
      <c r="CI8" s="11">
        <f t="shared" ca="1" si="2"/>
        <v>0</v>
      </c>
      <c r="CJ8" s="11">
        <f t="shared" ca="1" si="2"/>
        <v>0</v>
      </c>
      <c r="CK8" s="11">
        <f t="shared" ca="1" si="2"/>
        <v>0</v>
      </c>
      <c r="CL8" s="11">
        <f t="shared" ca="1" si="2"/>
        <v>0</v>
      </c>
      <c r="CM8" s="11">
        <f t="shared" ca="1" si="2"/>
        <v>0</v>
      </c>
      <c r="CN8" s="11">
        <f t="shared" ca="1" si="2"/>
        <v>0</v>
      </c>
    </row>
    <row r="9" spans="1:92" x14ac:dyDescent="0.3">
      <c r="A9" s="20">
        <v>8.8163676159999973</v>
      </c>
      <c r="B9">
        <v>3</v>
      </c>
      <c r="C9" t="s">
        <v>0</v>
      </c>
      <c r="D9" s="13">
        <v>0</v>
      </c>
      <c r="E9" s="14">
        <v>1</v>
      </c>
      <c r="F9" s="14">
        <v>0</v>
      </c>
      <c r="G9" s="14">
        <v>0</v>
      </c>
      <c r="H9" s="14">
        <v>1</v>
      </c>
      <c r="I9" s="14">
        <v>1</v>
      </c>
      <c r="J9" s="14">
        <v>0</v>
      </c>
      <c r="K9" s="14">
        <v>0</v>
      </c>
      <c r="L9" s="15">
        <v>0</v>
      </c>
      <c r="M9" s="13">
        <v>0</v>
      </c>
      <c r="N9" s="14">
        <v>0</v>
      </c>
      <c r="O9" s="14">
        <v>0</v>
      </c>
      <c r="P9" s="15">
        <v>0</v>
      </c>
      <c r="Q9" s="13">
        <v>1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5">
        <v>0</v>
      </c>
      <c r="X9" s="13">
        <v>0</v>
      </c>
      <c r="Y9" s="14">
        <v>0</v>
      </c>
      <c r="Z9" s="14">
        <v>0</v>
      </c>
      <c r="AA9" s="14">
        <v>0</v>
      </c>
      <c r="AB9" s="14">
        <v>0</v>
      </c>
      <c r="AC9" s="15">
        <v>0</v>
      </c>
      <c r="AD9" s="13">
        <v>0</v>
      </c>
      <c r="AE9" s="14">
        <v>0</v>
      </c>
      <c r="AF9" s="14">
        <v>0</v>
      </c>
      <c r="AG9" s="14">
        <v>0</v>
      </c>
      <c r="AH9" s="14">
        <v>0</v>
      </c>
      <c r="AI9" s="14">
        <v>0</v>
      </c>
      <c r="AJ9" s="14">
        <v>0</v>
      </c>
      <c r="AK9" s="14">
        <v>0</v>
      </c>
      <c r="AL9" s="14">
        <v>0</v>
      </c>
      <c r="AM9" s="14">
        <v>0</v>
      </c>
      <c r="AN9" s="14">
        <v>0</v>
      </c>
      <c r="AO9" s="15">
        <v>0</v>
      </c>
      <c r="AP9" s="13">
        <v>0</v>
      </c>
      <c r="AQ9" s="14">
        <v>0</v>
      </c>
      <c r="AR9" s="14">
        <v>0</v>
      </c>
      <c r="AS9" s="15">
        <v>0</v>
      </c>
      <c r="AU9">
        <f t="shared" si="3"/>
        <v>4</v>
      </c>
      <c r="AW9" s="12">
        <f t="shared" ca="1" si="4"/>
        <v>1.0077695999999999E-2</v>
      </c>
      <c r="AY9" s="11">
        <f t="shared" ca="1" si="5"/>
        <v>0</v>
      </c>
      <c r="AZ9" s="11">
        <f t="shared" ca="1" si="2"/>
        <v>1.0077695999999999E-2</v>
      </c>
      <c r="BA9" s="11">
        <f t="shared" ca="1" si="2"/>
        <v>0</v>
      </c>
      <c r="BB9" s="11">
        <f t="shared" ca="1" si="2"/>
        <v>0</v>
      </c>
      <c r="BC9" s="11">
        <f t="shared" ca="1" si="2"/>
        <v>6.0466175999999991E-3</v>
      </c>
      <c r="BD9" s="11">
        <f t="shared" ca="1" si="2"/>
        <v>3.6279705599999994E-3</v>
      </c>
      <c r="BE9" s="11">
        <f t="shared" ca="1" si="2"/>
        <v>0</v>
      </c>
      <c r="BF9" s="11">
        <f t="shared" ca="1" si="2"/>
        <v>0</v>
      </c>
      <c r="BG9" s="11">
        <f t="shared" ca="1" si="2"/>
        <v>0</v>
      </c>
      <c r="BH9" s="11">
        <f t="shared" ca="1" si="2"/>
        <v>0</v>
      </c>
      <c r="BI9" s="11">
        <f t="shared" ca="1" si="2"/>
        <v>0</v>
      </c>
      <c r="BJ9" s="11">
        <f t="shared" ca="1" si="2"/>
        <v>0</v>
      </c>
      <c r="BK9" s="11">
        <f t="shared" ca="1" si="2"/>
        <v>0</v>
      </c>
      <c r="BL9" s="11">
        <f t="shared" ca="1" si="2"/>
        <v>1.0077695999999999E-2</v>
      </c>
      <c r="BM9" s="11">
        <f t="shared" ca="1" si="2"/>
        <v>0</v>
      </c>
      <c r="BN9" s="11">
        <f t="shared" ca="1" si="2"/>
        <v>0</v>
      </c>
      <c r="BO9" s="11">
        <f t="shared" ca="1" si="2"/>
        <v>0</v>
      </c>
      <c r="BP9" s="11">
        <f t="shared" ca="1" si="2"/>
        <v>0</v>
      </c>
      <c r="BQ9" s="11">
        <f t="shared" ca="1" si="2"/>
        <v>0</v>
      </c>
      <c r="BR9" s="11">
        <f t="shared" ca="1" si="2"/>
        <v>0</v>
      </c>
      <c r="BS9" s="11">
        <f t="shared" ca="1" si="2"/>
        <v>0</v>
      </c>
      <c r="BT9" s="11">
        <f t="shared" ca="1" si="2"/>
        <v>0</v>
      </c>
      <c r="BU9" s="11">
        <f t="shared" ca="1" si="2"/>
        <v>0</v>
      </c>
      <c r="BV9" s="11">
        <f t="shared" ca="1" si="2"/>
        <v>0</v>
      </c>
      <c r="BW9" s="11">
        <f t="shared" ca="1" si="2"/>
        <v>0</v>
      </c>
      <c r="BX9" s="11">
        <f t="shared" ca="1" si="2"/>
        <v>0</v>
      </c>
      <c r="BY9" s="11">
        <f t="shared" ca="1" si="2"/>
        <v>0</v>
      </c>
      <c r="BZ9" s="11">
        <f t="shared" ca="1" si="2"/>
        <v>0</v>
      </c>
      <c r="CA9" s="11">
        <f t="shared" ca="1" si="2"/>
        <v>0</v>
      </c>
      <c r="CB9" s="11">
        <f t="shared" ca="1" si="2"/>
        <v>0</v>
      </c>
      <c r="CC9" s="11">
        <f t="shared" ca="1" si="2"/>
        <v>0</v>
      </c>
      <c r="CD9" s="11">
        <f t="shared" ca="1" si="2"/>
        <v>0</v>
      </c>
      <c r="CE9" s="11">
        <f t="shared" ca="1" si="2"/>
        <v>0</v>
      </c>
      <c r="CF9" s="11">
        <f t="shared" ca="1" si="2"/>
        <v>0</v>
      </c>
      <c r="CG9" s="11">
        <f t="shared" ca="1" si="2"/>
        <v>0</v>
      </c>
      <c r="CH9" s="11">
        <f t="shared" ca="1" si="2"/>
        <v>0</v>
      </c>
      <c r="CI9" s="11">
        <f t="shared" ca="1" si="2"/>
        <v>0</v>
      </c>
      <c r="CJ9" s="11">
        <f t="shared" ca="1" si="2"/>
        <v>0</v>
      </c>
      <c r="CK9" s="11">
        <f t="shared" ca="1" si="2"/>
        <v>0</v>
      </c>
      <c r="CL9" s="11">
        <f t="shared" ca="1" si="2"/>
        <v>0</v>
      </c>
      <c r="CM9" s="11">
        <f t="shared" ca="1" si="2"/>
        <v>0</v>
      </c>
      <c r="CN9" s="11">
        <f t="shared" ca="1" si="2"/>
        <v>0</v>
      </c>
    </row>
    <row r="10" spans="1:92" x14ac:dyDescent="0.3">
      <c r="A10" s="20">
        <v>8.3821465599999989</v>
      </c>
      <c r="B10">
        <v>4</v>
      </c>
      <c r="C10" t="s">
        <v>0</v>
      </c>
      <c r="D10" s="13">
        <v>1</v>
      </c>
      <c r="E10" s="14">
        <v>1</v>
      </c>
      <c r="F10" s="14">
        <v>0</v>
      </c>
      <c r="G10" s="14">
        <v>0</v>
      </c>
      <c r="H10" s="14">
        <v>1</v>
      </c>
      <c r="I10" s="14">
        <v>0</v>
      </c>
      <c r="J10" s="14">
        <v>1</v>
      </c>
      <c r="K10" s="14">
        <v>0</v>
      </c>
      <c r="L10" s="15">
        <v>0</v>
      </c>
      <c r="M10" s="13">
        <v>0</v>
      </c>
      <c r="N10" s="14">
        <v>0</v>
      </c>
      <c r="O10" s="14">
        <v>0</v>
      </c>
      <c r="P10" s="15">
        <v>0</v>
      </c>
      <c r="Q10" s="13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5">
        <v>0</v>
      </c>
      <c r="X10" s="13">
        <v>0</v>
      </c>
      <c r="Y10" s="14">
        <v>0</v>
      </c>
      <c r="Z10" s="14">
        <v>0</v>
      </c>
      <c r="AA10" s="14">
        <v>0</v>
      </c>
      <c r="AB10" s="14">
        <v>0</v>
      </c>
      <c r="AC10" s="15">
        <v>0</v>
      </c>
      <c r="AD10" s="13">
        <v>0</v>
      </c>
      <c r="AE10" s="14">
        <v>0</v>
      </c>
      <c r="AF10" s="14">
        <v>0</v>
      </c>
      <c r="AG10" s="14">
        <v>0</v>
      </c>
      <c r="AH10" s="14">
        <v>0</v>
      </c>
      <c r="AI10" s="14">
        <v>0</v>
      </c>
      <c r="AJ10" s="14">
        <v>0</v>
      </c>
      <c r="AK10" s="14">
        <v>0</v>
      </c>
      <c r="AL10" s="14">
        <v>0</v>
      </c>
      <c r="AM10" s="14">
        <v>0</v>
      </c>
      <c r="AN10" s="14">
        <v>0</v>
      </c>
      <c r="AO10" s="15">
        <v>0</v>
      </c>
      <c r="AP10" s="13">
        <v>0</v>
      </c>
      <c r="AQ10" s="14">
        <v>0</v>
      </c>
      <c r="AR10" s="14">
        <v>0</v>
      </c>
      <c r="AS10" s="15">
        <v>0</v>
      </c>
      <c r="AU10">
        <f t="shared" si="3"/>
        <v>4</v>
      </c>
      <c r="AW10" s="12">
        <f t="shared" ca="1" si="4"/>
        <v>1.6796159999999997E-2</v>
      </c>
      <c r="AY10" s="11">
        <f t="shared" ca="1" si="5"/>
        <v>1.6796159999999997E-2</v>
      </c>
      <c r="AZ10" s="11">
        <f t="shared" ca="1" si="2"/>
        <v>1.0077695999999999E-2</v>
      </c>
      <c r="BA10" s="11">
        <f t="shared" ca="1" si="2"/>
        <v>0</v>
      </c>
      <c r="BB10" s="11">
        <f t="shared" ca="1" si="2"/>
        <v>0</v>
      </c>
      <c r="BC10" s="11">
        <f t="shared" ca="1" si="2"/>
        <v>6.0466175999999991E-3</v>
      </c>
      <c r="BD10" s="11">
        <f t="shared" ca="1" si="2"/>
        <v>0</v>
      </c>
      <c r="BE10" s="11">
        <f t="shared" ca="1" si="2"/>
        <v>6.0466175999999991E-3</v>
      </c>
      <c r="BF10" s="11">
        <f t="shared" ca="1" si="2"/>
        <v>0</v>
      </c>
      <c r="BG10" s="11">
        <f t="shared" ca="1" si="2"/>
        <v>0</v>
      </c>
      <c r="BH10" s="11">
        <f t="shared" ca="1" si="2"/>
        <v>0</v>
      </c>
      <c r="BI10" s="11">
        <f t="shared" ca="1" si="2"/>
        <v>0</v>
      </c>
      <c r="BJ10" s="11">
        <f t="shared" ca="1" si="2"/>
        <v>0</v>
      </c>
      <c r="BK10" s="11">
        <f t="shared" ca="1" si="2"/>
        <v>0</v>
      </c>
      <c r="BL10" s="11">
        <f t="shared" ca="1" si="2"/>
        <v>0</v>
      </c>
      <c r="BM10" s="11">
        <f t="shared" ca="1" si="2"/>
        <v>0</v>
      </c>
      <c r="BN10" s="11">
        <f t="shared" ca="1" si="2"/>
        <v>0</v>
      </c>
      <c r="BO10" s="11">
        <f t="shared" ca="1" si="2"/>
        <v>0</v>
      </c>
      <c r="BP10" s="11">
        <f t="shared" ca="1" si="2"/>
        <v>0</v>
      </c>
      <c r="BQ10" s="11">
        <f t="shared" ca="1" si="2"/>
        <v>0</v>
      </c>
      <c r="BR10" s="11">
        <f t="shared" ca="1" si="2"/>
        <v>0</v>
      </c>
      <c r="BS10" s="11">
        <f t="shared" ca="1" si="2"/>
        <v>0</v>
      </c>
      <c r="BT10" s="11">
        <f t="shared" ca="1" si="2"/>
        <v>0</v>
      </c>
      <c r="BU10" s="11">
        <f t="shared" ca="1" si="2"/>
        <v>0</v>
      </c>
      <c r="BV10" s="11">
        <f t="shared" ca="1" si="2"/>
        <v>0</v>
      </c>
      <c r="BW10" s="11">
        <f t="shared" ca="1" si="2"/>
        <v>0</v>
      </c>
      <c r="BX10" s="11">
        <f t="shared" ca="1" si="2"/>
        <v>0</v>
      </c>
      <c r="BY10" s="11">
        <f t="shared" ca="1" si="2"/>
        <v>0</v>
      </c>
      <c r="BZ10" s="11">
        <f t="shared" ca="1" si="2"/>
        <v>0</v>
      </c>
      <c r="CA10" s="11">
        <f t="shared" ca="1" si="2"/>
        <v>0</v>
      </c>
      <c r="CB10" s="11">
        <f t="shared" ca="1" si="2"/>
        <v>0</v>
      </c>
      <c r="CC10" s="11">
        <f t="shared" ca="1" si="2"/>
        <v>0</v>
      </c>
      <c r="CD10" s="11">
        <f t="shared" ca="1" si="2"/>
        <v>0</v>
      </c>
      <c r="CE10" s="11">
        <f t="shared" ca="1" si="2"/>
        <v>0</v>
      </c>
      <c r="CF10" s="11">
        <f t="shared" ca="1" si="2"/>
        <v>0</v>
      </c>
      <c r="CG10" s="11">
        <f t="shared" ca="1" si="2"/>
        <v>0</v>
      </c>
      <c r="CH10" s="11">
        <f t="shared" ca="1" si="2"/>
        <v>0</v>
      </c>
      <c r="CI10" s="11">
        <f t="shared" ca="1" si="2"/>
        <v>0</v>
      </c>
      <c r="CJ10" s="11">
        <f t="shared" ca="1" si="2"/>
        <v>0</v>
      </c>
      <c r="CK10" s="11">
        <f t="shared" ca="1" si="2"/>
        <v>0</v>
      </c>
      <c r="CL10" s="11">
        <f t="shared" ca="1" si="2"/>
        <v>0</v>
      </c>
      <c r="CM10" s="11">
        <f t="shared" ca="1" si="2"/>
        <v>0</v>
      </c>
      <c r="CN10" s="11">
        <f t="shared" ca="1" si="2"/>
        <v>0</v>
      </c>
    </row>
    <row r="11" spans="1:92" x14ac:dyDescent="0.3">
      <c r="A11" s="20">
        <v>8.6934108159999983</v>
      </c>
      <c r="B11">
        <v>5</v>
      </c>
      <c r="C11" t="s">
        <v>0</v>
      </c>
      <c r="D11" s="13">
        <v>0</v>
      </c>
      <c r="E11" s="14">
        <v>1</v>
      </c>
      <c r="F11" s="14">
        <v>1</v>
      </c>
      <c r="G11" s="14">
        <v>1</v>
      </c>
      <c r="H11" s="14">
        <v>0</v>
      </c>
      <c r="I11" s="14">
        <v>1</v>
      </c>
      <c r="J11" s="14">
        <v>1</v>
      </c>
      <c r="K11" s="14">
        <v>1</v>
      </c>
      <c r="L11" s="15">
        <v>0</v>
      </c>
      <c r="M11" s="13">
        <v>0</v>
      </c>
      <c r="N11" s="14">
        <v>0</v>
      </c>
      <c r="O11" s="14">
        <v>0</v>
      </c>
      <c r="P11" s="15">
        <v>0</v>
      </c>
      <c r="Q11" s="13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5">
        <v>0</v>
      </c>
      <c r="X11" s="13">
        <v>0</v>
      </c>
      <c r="Y11" s="14">
        <v>0</v>
      </c>
      <c r="Z11" s="14">
        <v>0</v>
      </c>
      <c r="AA11" s="14">
        <v>0</v>
      </c>
      <c r="AB11" s="14">
        <v>0</v>
      </c>
      <c r="AC11" s="15">
        <v>0</v>
      </c>
      <c r="AD11" s="13">
        <v>0</v>
      </c>
      <c r="AE11" s="14">
        <v>0</v>
      </c>
      <c r="AF11" s="14">
        <v>0</v>
      </c>
      <c r="AG11" s="14">
        <v>0</v>
      </c>
      <c r="AH11" s="14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0</v>
      </c>
      <c r="AN11" s="14">
        <v>0</v>
      </c>
      <c r="AO11" s="15">
        <v>0</v>
      </c>
      <c r="AP11" s="13">
        <v>0</v>
      </c>
      <c r="AQ11" s="14">
        <v>0</v>
      </c>
      <c r="AR11" s="14">
        <v>0</v>
      </c>
      <c r="AS11" s="15">
        <v>0</v>
      </c>
      <c r="AU11">
        <f t="shared" si="3"/>
        <v>6</v>
      </c>
      <c r="AW11" s="12">
        <f t="shared" ca="1" si="4"/>
        <v>1.0077695999999999E-2</v>
      </c>
      <c r="AY11" s="11">
        <f t="shared" ca="1" si="5"/>
        <v>0</v>
      </c>
      <c r="AZ11" s="11">
        <f t="shared" ca="1" si="2"/>
        <v>1.0077695999999999E-2</v>
      </c>
      <c r="BA11" s="11">
        <f t="shared" ca="1" si="2"/>
        <v>6.0466175999999991E-3</v>
      </c>
      <c r="BB11" s="11">
        <f t="shared" ca="1" si="2"/>
        <v>1.0077695999999999E-2</v>
      </c>
      <c r="BC11" s="11">
        <f t="shared" ca="1" si="2"/>
        <v>0</v>
      </c>
      <c r="BD11" s="11">
        <f t="shared" ca="1" si="2"/>
        <v>3.6279705599999994E-3</v>
      </c>
      <c r="BE11" s="11">
        <f t="shared" ca="1" si="2"/>
        <v>6.0466175999999991E-3</v>
      </c>
      <c r="BF11" s="11">
        <f t="shared" ca="1" si="2"/>
        <v>3.6279705599999994E-3</v>
      </c>
      <c r="BG11" s="11">
        <f t="shared" ca="1" si="2"/>
        <v>0</v>
      </c>
      <c r="BH11" s="11">
        <f t="shared" ca="1" si="2"/>
        <v>0</v>
      </c>
      <c r="BI11" s="11">
        <f t="shared" ca="1" si="2"/>
        <v>0</v>
      </c>
      <c r="BJ11" s="11">
        <f t="shared" ca="1" si="2"/>
        <v>0</v>
      </c>
      <c r="BK11" s="11">
        <f t="shared" ca="1" si="2"/>
        <v>0</v>
      </c>
      <c r="BL11" s="11">
        <f t="shared" ca="1" si="2"/>
        <v>0</v>
      </c>
      <c r="BM11" s="11">
        <f t="shared" ca="1" si="2"/>
        <v>0</v>
      </c>
      <c r="BN11" s="11">
        <f t="shared" ca="1" si="2"/>
        <v>0</v>
      </c>
      <c r="BO11" s="11">
        <f t="shared" ca="1" si="2"/>
        <v>0</v>
      </c>
      <c r="BP11" s="11">
        <f t="shared" ca="1" si="2"/>
        <v>0</v>
      </c>
      <c r="BQ11" s="11">
        <f t="shared" ca="1" si="2"/>
        <v>0</v>
      </c>
      <c r="BR11" s="11">
        <f t="shared" ca="1" si="2"/>
        <v>0</v>
      </c>
      <c r="BS11" s="11">
        <f t="shared" ca="1" si="2"/>
        <v>0</v>
      </c>
      <c r="BT11" s="11">
        <f t="shared" ca="1" si="2"/>
        <v>0</v>
      </c>
      <c r="BU11" s="11">
        <f t="shared" ca="1" si="2"/>
        <v>0</v>
      </c>
      <c r="BV11" s="11">
        <f t="shared" ca="1" si="2"/>
        <v>0</v>
      </c>
      <c r="BW11" s="11">
        <f t="shared" ca="1" si="2"/>
        <v>0</v>
      </c>
      <c r="BX11" s="11">
        <f t="shared" ca="1" si="2"/>
        <v>0</v>
      </c>
      <c r="BY11" s="11">
        <f t="shared" ca="1" si="2"/>
        <v>0</v>
      </c>
      <c r="BZ11" s="11">
        <f t="shared" ca="1" si="2"/>
        <v>0</v>
      </c>
      <c r="CA11" s="11">
        <f t="shared" ca="1" si="2"/>
        <v>0</v>
      </c>
      <c r="CB11" s="11">
        <f t="shared" ca="1" si="2"/>
        <v>0</v>
      </c>
      <c r="CC11" s="11">
        <f t="shared" ca="1" si="2"/>
        <v>0</v>
      </c>
      <c r="CD11" s="11">
        <f t="shared" ca="1" si="2"/>
        <v>0</v>
      </c>
      <c r="CE11" s="11">
        <f t="shared" ca="1" si="2"/>
        <v>0</v>
      </c>
      <c r="CF11" s="11">
        <f t="shared" ca="1" si="2"/>
        <v>0</v>
      </c>
      <c r="CG11" s="11">
        <f t="shared" ca="1" si="2"/>
        <v>0</v>
      </c>
      <c r="CH11" s="11">
        <f t="shared" ca="1" si="2"/>
        <v>0</v>
      </c>
      <c r="CI11" s="11">
        <f t="shared" ca="1" si="2"/>
        <v>0</v>
      </c>
      <c r="CJ11" s="11">
        <f t="shared" ca="1" si="2"/>
        <v>0</v>
      </c>
      <c r="CK11" s="11">
        <f t="shared" ca="1" si="2"/>
        <v>0</v>
      </c>
      <c r="CL11" s="11">
        <f t="shared" ca="1" si="2"/>
        <v>0</v>
      </c>
      <c r="CM11" s="11">
        <f t="shared" ca="1" si="2"/>
        <v>0</v>
      </c>
      <c r="CN11" s="11">
        <f t="shared" ca="1" si="2"/>
        <v>0</v>
      </c>
    </row>
    <row r="12" spans="1:92" x14ac:dyDescent="0.3">
      <c r="A12" s="20">
        <v>7.4261149695999951</v>
      </c>
      <c r="B12">
        <v>6</v>
      </c>
      <c r="C12" t="s">
        <v>0</v>
      </c>
      <c r="D12" s="13">
        <v>0</v>
      </c>
      <c r="E12" s="14">
        <v>0</v>
      </c>
      <c r="F12" s="14">
        <v>1</v>
      </c>
      <c r="G12" s="14">
        <v>0</v>
      </c>
      <c r="H12" s="14">
        <v>1</v>
      </c>
      <c r="I12" s="14">
        <v>0</v>
      </c>
      <c r="J12" s="14">
        <v>0</v>
      </c>
      <c r="K12" s="14">
        <v>1</v>
      </c>
      <c r="L12" s="15">
        <v>0</v>
      </c>
      <c r="M12" s="13">
        <v>0</v>
      </c>
      <c r="N12" s="14">
        <v>0</v>
      </c>
      <c r="O12" s="14">
        <v>0</v>
      </c>
      <c r="P12" s="15">
        <v>0</v>
      </c>
      <c r="Q12" s="13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5">
        <v>0</v>
      </c>
      <c r="X12" s="13">
        <v>0</v>
      </c>
      <c r="Y12" s="14">
        <v>0</v>
      </c>
      <c r="Z12" s="14">
        <v>0</v>
      </c>
      <c r="AA12" s="14">
        <v>0</v>
      </c>
      <c r="AB12" s="14">
        <v>0</v>
      </c>
      <c r="AC12" s="15">
        <v>0</v>
      </c>
      <c r="AD12" s="13">
        <v>0</v>
      </c>
      <c r="AE12" s="14">
        <v>0</v>
      </c>
      <c r="AF12" s="14">
        <v>0</v>
      </c>
      <c r="AG12" s="14">
        <v>0</v>
      </c>
      <c r="AH12" s="14">
        <v>0</v>
      </c>
      <c r="AI12" s="14">
        <v>0</v>
      </c>
      <c r="AJ12" s="14">
        <v>0</v>
      </c>
      <c r="AK12" s="14">
        <v>0</v>
      </c>
      <c r="AL12" s="14">
        <v>0</v>
      </c>
      <c r="AM12" s="14">
        <v>0</v>
      </c>
      <c r="AN12" s="14">
        <v>0</v>
      </c>
      <c r="AO12" s="15">
        <v>0</v>
      </c>
      <c r="AP12" s="13">
        <v>0</v>
      </c>
      <c r="AQ12" s="14">
        <v>0</v>
      </c>
      <c r="AR12" s="14">
        <v>0</v>
      </c>
      <c r="AS12" s="15">
        <v>0</v>
      </c>
      <c r="AU12">
        <f t="shared" si="3"/>
        <v>3</v>
      </c>
      <c r="AW12" s="12">
        <f t="shared" ca="1" si="4"/>
        <v>6.0466175999999991E-3</v>
      </c>
      <c r="AY12" s="11">
        <f t="shared" ca="1" si="5"/>
        <v>0</v>
      </c>
      <c r="AZ12" s="11">
        <f t="shared" ca="1" si="2"/>
        <v>0</v>
      </c>
      <c r="BA12" s="11">
        <f t="shared" ca="1" si="2"/>
        <v>6.0466175999999991E-3</v>
      </c>
      <c r="BB12" s="11">
        <f t="shared" ca="1" si="2"/>
        <v>0</v>
      </c>
      <c r="BC12" s="11">
        <f t="shared" ca="1" si="2"/>
        <v>6.0466175999999991E-3</v>
      </c>
      <c r="BD12" s="11">
        <f t="shared" ca="1" si="2"/>
        <v>0</v>
      </c>
      <c r="BE12" s="11">
        <f t="shared" ca="1" si="2"/>
        <v>0</v>
      </c>
      <c r="BF12" s="11">
        <f t="shared" ca="1" si="2"/>
        <v>3.6279705599999994E-3</v>
      </c>
      <c r="BG12" s="11">
        <f t="shared" ca="1" si="2"/>
        <v>0</v>
      </c>
      <c r="BH12" s="11">
        <f t="shared" ca="1" si="2"/>
        <v>0</v>
      </c>
      <c r="BI12" s="11">
        <f t="shared" ca="1" si="2"/>
        <v>0</v>
      </c>
      <c r="BJ12" s="11">
        <f t="shared" ca="1" si="2"/>
        <v>0</v>
      </c>
      <c r="BK12" s="11">
        <f t="shared" ca="1" si="2"/>
        <v>0</v>
      </c>
      <c r="BL12" s="11">
        <f t="shared" ca="1" si="2"/>
        <v>0</v>
      </c>
      <c r="BM12" s="11">
        <f t="shared" ca="1" si="2"/>
        <v>0</v>
      </c>
      <c r="BN12" s="11">
        <f t="shared" ca="1" si="2"/>
        <v>0</v>
      </c>
      <c r="BO12" s="11">
        <f t="shared" ca="1" si="2"/>
        <v>0</v>
      </c>
      <c r="BP12" s="11">
        <f t="shared" ca="1" si="2"/>
        <v>0</v>
      </c>
      <c r="BQ12" s="11">
        <f t="shared" ca="1" si="2"/>
        <v>0</v>
      </c>
      <c r="BR12" s="11">
        <f t="shared" ca="1" si="2"/>
        <v>0</v>
      </c>
      <c r="BS12" s="11">
        <f t="shared" ca="1" si="2"/>
        <v>0</v>
      </c>
      <c r="BT12" s="11">
        <f t="shared" ca="1" si="2"/>
        <v>0</v>
      </c>
      <c r="BU12" s="11">
        <f t="shared" ca="1" si="2"/>
        <v>0</v>
      </c>
      <c r="BV12" s="11">
        <f t="shared" ca="1" si="2"/>
        <v>0</v>
      </c>
      <c r="BW12" s="11">
        <f t="shared" ca="1" si="2"/>
        <v>0</v>
      </c>
      <c r="BX12" s="11">
        <f t="shared" ca="1" si="2"/>
        <v>0</v>
      </c>
      <c r="BY12" s="11">
        <f t="shared" ca="1" si="2"/>
        <v>0</v>
      </c>
      <c r="BZ12" s="11">
        <f t="shared" ca="1" si="2"/>
        <v>0</v>
      </c>
      <c r="CA12" s="11">
        <f t="shared" ca="1" si="2"/>
        <v>0</v>
      </c>
      <c r="CB12" s="11">
        <f t="shared" ca="1" si="2"/>
        <v>0</v>
      </c>
      <c r="CC12" s="11">
        <f t="shared" ca="1" si="2"/>
        <v>0</v>
      </c>
      <c r="CD12" s="11">
        <f t="shared" ca="1" si="2"/>
        <v>0</v>
      </c>
      <c r="CE12" s="11">
        <f t="shared" ca="1" si="2"/>
        <v>0</v>
      </c>
      <c r="CF12" s="11">
        <f t="shared" ca="1" si="2"/>
        <v>0</v>
      </c>
      <c r="CG12" s="11">
        <f t="shared" ca="1" si="2"/>
        <v>0</v>
      </c>
      <c r="CH12" s="11">
        <f t="shared" ca="1" si="2"/>
        <v>0</v>
      </c>
      <c r="CI12" s="11">
        <f t="shared" ca="1" si="2"/>
        <v>0</v>
      </c>
      <c r="CJ12" s="11">
        <f t="shared" ca="1" si="2"/>
        <v>0</v>
      </c>
      <c r="CK12" s="11">
        <f t="shared" ca="1" si="2"/>
        <v>0</v>
      </c>
      <c r="CL12" s="11">
        <f t="shared" ca="1" si="2"/>
        <v>0</v>
      </c>
      <c r="CM12" s="11">
        <f t="shared" ca="1" si="2"/>
        <v>0</v>
      </c>
      <c r="CN12" s="11">
        <f t="shared" ca="1" si="2"/>
        <v>0</v>
      </c>
    </row>
    <row r="13" spans="1:92" x14ac:dyDescent="0.3">
      <c r="A13" s="20">
        <v>8.1988956159999962</v>
      </c>
      <c r="B13">
        <v>7</v>
      </c>
      <c r="C13" t="s">
        <v>0</v>
      </c>
      <c r="D13" s="13">
        <v>0</v>
      </c>
      <c r="E13" s="14">
        <v>0</v>
      </c>
      <c r="F13" s="14">
        <v>0</v>
      </c>
      <c r="G13" s="14">
        <v>1</v>
      </c>
      <c r="H13" s="14">
        <v>1</v>
      </c>
      <c r="I13" s="14">
        <v>0</v>
      </c>
      <c r="J13" s="14">
        <v>0</v>
      </c>
      <c r="K13" s="14">
        <v>1</v>
      </c>
      <c r="L13" s="15">
        <v>1</v>
      </c>
      <c r="M13" s="13">
        <v>0</v>
      </c>
      <c r="N13" s="14">
        <v>0</v>
      </c>
      <c r="O13" s="14">
        <v>0</v>
      </c>
      <c r="P13" s="15">
        <v>0</v>
      </c>
      <c r="Q13" s="13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5">
        <v>0</v>
      </c>
      <c r="X13" s="13">
        <v>0</v>
      </c>
      <c r="Y13" s="14">
        <v>0</v>
      </c>
      <c r="Z13" s="14">
        <v>0</v>
      </c>
      <c r="AA13" s="14">
        <v>0</v>
      </c>
      <c r="AB13" s="14">
        <v>0</v>
      </c>
      <c r="AC13" s="15">
        <v>0</v>
      </c>
      <c r="AD13" s="13">
        <v>0</v>
      </c>
      <c r="AE13" s="14">
        <v>0</v>
      </c>
      <c r="AF13" s="14">
        <v>0</v>
      </c>
      <c r="AG13" s="14">
        <v>0</v>
      </c>
      <c r="AH13" s="14">
        <v>0</v>
      </c>
      <c r="AI13" s="14">
        <v>0</v>
      </c>
      <c r="AJ13" s="14">
        <v>0</v>
      </c>
      <c r="AK13" s="14">
        <v>0</v>
      </c>
      <c r="AL13" s="14">
        <v>0</v>
      </c>
      <c r="AM13" s="14">
        <v>0</v>
      </c>
      <c r="AN13" s="14">
        <v>0</v>
      </c>
      <c r="AO13" s="15">
        <v>0</v>
      </c>
      <c r="AP13" s="13">
        <v>0</v>
      </c>
      <c r="AQ13" s="14">
        <v>0</v>
      </c>
      <c r="AR13" s="14">
        <v>0</v>
      </c>
      <c r="AS13" s="15">
        <v>0</v>
      </c>
      <c r="AU13">
        <f t="shared" si="3"/>
        <v>4</v>
      </c>
      <c r="AW13" s="12">
        <f t="shared" ca="1" si="4"/>
        <v>1.0077695999999999E-2</v>
      </c>
      <c r="AY13" s="11">
        <f t="shared" ca="1" si="5"/>
        <v>0</v>
      </c>
      <c r="AZ13" s="11">
        <f t="shared" ca="1" si="2"/>
        <v>0</v>
      </c>
      <c r="BA13" s="11">
        <f t="shared" ca="1" si="2"/>
        <v>0</v>
      </c>
      <c r="BB13" s="11">
        <f t="shared" ca="1" si="2"/>
        <v>1.0077695999999999E-2</v>
      </c>
      <c r="BC13" s="11">
        <f t="shared" ca="1" si="2"/>
        <v>6.0466175999999991E-3</v>
      </c>
      <c r="BD13" s="11">
        <f t="shared" ca="1" si="2"/>
        <v>0</v>
      </c>
      <c r="BE13" s="11">
        <f t="shared" ca="1" si="2"/>
        <v>0</v>
      </c>
      <c r="BF13" s="11">
        <f t="shared" ca="1" si="2"/>
        <v>3.6279705599999994E-3</v>
      </c>
      <c r="BG13" s="11">
        <f t="shared" ca="1" si="2"/>
        <v>3.6279705599999994E-3</v>
      </c>
      <c r="BH13" s="11">
        <f t="shared" ca="1" si="2"/>
        <v>0</v>
      </c>
      <c r="BI13" s="11">
        <f t="shared" ref="BI13:BI48" ca="1" si="6">N13*N$4*$AW$5</f>
        <v>0</v>
      </c>
      <c r="BJ13" s="11">
        <f t="shared" ref="BJ13:BJ48" ca="1" si="7">O13*O$4*$AW$5</f>
        <v>0</v>
      </c>
      <c r="BK13" s="11">
        <f t="shared" ref="BK13:BK48" ca="1" si="8">P13*P$4*$AW$5</f>
        <v>0</v>
      </c>
      <c r="BL13" s="11">
        <f t="shared" ref="BL13:BL48" ca="1" si="9">Q13*Q$4*$AW$5</f>
        <v>0</v>
      </c>
      <c r="BM13" s="11">
        <f t="shared" ref="BM13:BM48" ca="1" si="10">R13*R$4*$AW$5</f>
        <v>0</v>
      </c>
      <c r="BN13" s="11">
        <f t="shared" ref="BN13:BN48" ca="1" si="11">S13*S$4*$AW$5</f>
        <v>0</v>
      </c>
      <c r="BO13" s="11">
        <f t="shared" ref="BO13:BO48" ca="1" si="12">T13*T$4*$AW$5</f>
        <v>0</v>
      </c>
      <c r="BP13" s="11">
        <f t="shared" ref="BP13:BP48" ca="1" si="13">U13*U$4*$AW$5</f>
        <v>0</v>
      </c>
      <c r="BQ13" s="11">
        <f t="shared" ref="BQ13:BQ48" ca="1" si="14">V13*V$4*$AW$5</f>
        <v>0</v>
      </c>
      <c r="BR13" s="11">
        <f t="shared" ref="BR13:BR48" ca="1" si="15">W13*W$4*$AW$5</f>
        <v>0</v>
      </c>
      <c r="BS13" s="11">
        <f t="shared" ref="BS13:BS48" ca="1" si="16">X13*X$4*$AW$5</f>
        <v>0</v>
      </c>
      <c r="BT13" s="11">
        <f t="shared" ref="BT13:BT48" ca="1" si="17">Y13*Y$4*$AW$5</f>
        <v>0</v>
      </c>
      <c r="BU13" s="11">
        <f t="shared" ref="BU13:BU48" ca="1" si="18">Z13*Z$4*$AW$5</f>
        <v>0</v>
      </c>
      <c r="BV13" s="11">
        <f t="shared" ref="BV13:BV48" ca="1" si="19">AA13*AA$4*$AW$5</f>
        <v>0</v>
      </c>
      <c r="BW13" s="11">
        <f t="shared" ref="BW13:BW48" ca="1" si="20">AB13*AB$4*$AW$5</f>
        <v>0</v>
      </c>
      <c r="BX13" s="11">
        <f t="shared" ref="BX13:BX48" ca="1" si="21">AC13*AC$4*$AW$5</f>
        <v>0</v>
      </c>
      <c r="BY13" s="11">
        <f t="shared" ref="BY13:BY48" ca="1" si="22">AD13*AD$4*$AW$5</f>
        <v>0</v>
      </c>
      <c r="BZ13" s="11">
        <f t="shared" ref="BZ13:BZ48" ca="1" si="23">AE13*AE$4*$AW$5</f>
        <v>0</v>
      </c>
      <c r="CA13" s="11">
        <f t="shared" ref="CA13:CA48" ca="1" si="24">AF13*AF$4*$AW$5</f>
        <v>0</v>
      </c>
      <c r="CB13" s="11">
        <f t="shared" ref="CB13:CB48" ca="1" si="25">AG13*AG$4*$AW$5</f>
        <v>0</v>
      </c>
      <c r="CC13" s="11">
        <f t="shared" ref="CC13:CC48" ca="1" si="26">AH13*AH$4*$AW$5</f>
        <v>0</v>
      </c>
      <c r="CD13" s="11">
        <f t="shared" ref="CD13:CD48" ca="1" si="27">AI13*AI$4*$AW$5</f>
        <v>0</v>
      </c>
      <c r="CE13" s="11">
        <f t="shared" ref="CE13:CE48" ca="1" si="28">AJ13*AJ$4*$AW$5</f>
        <v>0</v>
      </c>
      <c r="CF13" s="11">
        <f t="shared" ref="CF13:CF48" ca="1" si="29">AK13*AK$4*$AW$5</f>
        <v>0</v>
      </c>
      <c r="CG13" s="11">
        <f t="shared" ref="CG13:CG48" ca="1" si="30">AL13*AL$4*$AW$5</f>
        <v>0</v>
      </c>
      <c r="CH13" s="11">
        <f t="shared" ref="CH13:CH48" ca="1" si="31">AM13*AM$4*$AW$5</f>
        <v>0</v>
      </c>
      <c r="CI13" s="11">
        <f t="shared" ref="CI13:CI48" ca="1" si="32">AN13*AN$4*$AW$5</f>
        <v>0</v>
      </c>
      <c r="CJ13" s="11">
        <f t="shared" ref="CJ13:CJ48" ca="1" si="33">AO13*AO$4*$AW$5</f>
        <v>0</v>
      </c>
      <c r="CK13" s="11">
        <f t="shared" ref="CK13:CK48" ca="1" si="34">AP13*AP$4*$AW$5</f>
        <v>0</v>
      </c>
      <c r="CL13" s="11">
        <f t="shared" ref="CL13:CL48" ca="1" si="35">AQ13*AQ$4*$AW$5</f>
        <v>0</v>
      </c>
      <c r="CM13" s="11">
        <f t="shared" ref="CM13:CM48" ca="1" si="36">AR13*AR$4*$AW$5</f>
        <v>0</v>
      </c>
      <c r="CN13" s="11">
        <f t="shared" ref="CN13:CN48" ca="1" si="37">AS13*AS$4*$AW$5</f>
        <v>0</v>
      </c>
    </row>
    <row r="14" spans="1:92" x14ac:dyDescent="0.3">
      <c r="A14" s="20">
        <v>7.6329373695999934</v>
      </c>
      <c r="B14">
        <v>8</v>
      </c>
      <c r="C14" t="s">
        <v>0</v>
      </c>
      <c r="D14" s="13">
        <v>0</v>
      </c>
      <c r="E14" s="14">
        <v>0</v>
      </c>
      <c r="F14" s="14">
        <v>0</v>
      </c>
      <c r="G14" s="14">
        <v>0</v>
      </c>
      <c r="H14" s="14">
        <v>1</v>
      </c>
      <c r="I14" s="14">
        <v>1</v>
      </c>
      <c r="J14" s="14">
        <v>1</v>
      </c>
      <c r="K14" s="14">
        <v>0</v>
      </c>
      <c r="L14" s="15">
        <v>1</v>
      </c>
      <c r="M14" s="13">
        <v>0</v>
      </c>
      <c r="N14" s="14">
        <v>0</v>
      </c>
      <c r="O14" s="14">
        <v>0</v>
      </c>
      <c r="P14" s="15">
        <v>0</v>
      </c>
      <c r="Q14" s="13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5">
        <v>0</v>
      </c>
      <c r="X14" s="13">
        <v>0</v>
      </c>
      <c r="Y14" s="14">
        <v>0</v>
      </c>
      <c r="Z14" s="14">
        <v>0</v>
      </c>
      <c r="AA14" s="14">
        <v>0</v>
      </c>
      <c r="AB14" s="14">
        <v>0</v>
      </c>
      <c r="AC14" s="15">
        <v>0</v>
      </c>
      <c r="AD14" s="13">
        <v>0</v>
      </c>
      <c r="AE14" s="14">
        <v>0</v>
      </c>
      <c r="AF14" s="14">
        <v>0</v>
      </c>
      <c r="AG14" s="14">
        <v>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5">
        <v>0</v>
      </c>
      <c r="AP14" s="13">
        <v>0</v>
      </c>
      <c r="AQ14" s="14">
        <v>0</v>
      </c>
      <c r="AR14" s="14">
        <v>0</v>
      </c>
      <c r="AS14" s="15">
        <v>0</v>
      </c>
      <c r="AU14">
        <f t="shared" si="3"/>
        <v>4</v>
      </c>
      <c r="AW14" s="12">
        <f t="shared" ca="1" si="4"/>
        <v>6.0466175999999991E-3</v>
      </c>
      <c r="AY14" s="11">
        <f t="shared" ca="1" si="5"/>
        <v>0</v>
      </c>
      <c r="AZ14" s="11">
        <f t="shared" ref="AZ14:AZ48" ca="1" si="38">E14*E$4*$AW$5</f>
        <v>0</v>
      </c>
      <c r="BA14" s="11">
        <f t="shared" ref="BA14:BA48" ca="1" si="39">F14*F$4*$AW$5</f>
        <v>0</v>
      </c>
      <c r="BB14" s="11">
        <f t="shared" ref="BB14:BB48" ca="1" si="40">G14*G$4*$AW$5</f>
        <v>0</v>
      </c>
      <c r="BC14" s="11">
        <f t="shared" ref="BC14:BC48" ca="1" si="41">H14*H$4*$AW$5</f>
        <v>6.0466175999999991E-3</v>
      </c>
      <c r="BD14" s="11">
        <f t="shared" ref="BD14:BD48" ca="1" si="42">I14*I$4*$AW$5</f>
        <v>3.6279705599999994E-3</v>
      </c>
      <c r="BE14" s="11">
        <f t="shared" ref="BE14:BE48" ca="1" si="43">J14*J$4*$AW$5</f>
        <v>6.0466175999999991E-3</v>
      </c>
      <c r="BF14" s="11">
        <f t="shared" ref="BF14:BF48" ca="1" si="44">K14*K$4*$AW$5</f>
        <v>0</v>
      </c>
      <c r="BG14" s="11">
        <f t="shared" ref="BG14:BG48" ca="1" si="45">L14*L$4*$AW$5</f>
        <v>3.6279705599999994E-3</v>
      </c>
      <c r="BH14" s="11">
        <f t="shared" ref="BH14:BH48" ca="1" si="46">M14*M$4*$AW$5</f>
        <v>0</v>
      </c>
      <c r="BI14" s="11">
        <f t="shared" ca="1" si="6"/>
        <v>0</v>
      </c>
      <c r="BJ14" s="11">
        <f t="shared" ca="1" si="7"/>
        <v>0</v>
      </c>
      <c r="BK14" s="11">
        <f t="shared" ca="1" si="8"/>
        <v>0</v>
      </c>
      <c r="BL14" s="11">
        <f t="shared" ca="1" si="9"/>
        <v>0</v>
      </c>
      <c r="BM14" s="11">
        <f t="shared" ca="1" si="10"/>
        <v>0</v>
      </c>
      <c r="BN14" s="11">
        <f t="shared" ca="1" si="11"/>
        <v>0</v>
      </c>
      <c r="BO14" s="11">
        <f t="shared" ca="1" si="12"/>
        <v>0</v>
      </c>
      <c r="BP14" s="11">
        <f t="shared" ca="1" si="13"/>
        <v>0</v>
      </c>
      <c r="BQ14" s="11">
        <f t="shared" ca="1" si="14"/>
        <v>0</v>
      </c>
      <c r="BR14" s="11">
        <f t="shared" ca="1" si="15"/>
        <v>0</v>
      </c>
      <c r="BS14" s="11">
        <f t="shared" ca="1" si="16"/>
        <v>0</v>
      </c>
      <c r="BT14" s="11">
        <f t="shared" ca="1" si="17"/>
        <v>0</v>
      </c>
      <c r="BU14" s="11">
        <f t="shared" ca="1" si="18"/>
        <v>0</v>
      </c>
      <c r="BV14" s="11">
        <f t="shared" ca="1" si="19"/>
        <v>0</v>
      </c>
      <c r="BW14" s="11">
        <f t="shared" ca="1" si="20"/>
        <v>0</v>
      </c>
      <c r="BX14" s="11">
        <f t="shared" ca="1" si="21"/>
        <v>0</v>
      </c>
      <c r="BY14" s="11">
        <f t="shared" ca="1" si="22"/>
        <v>0</v>
      </c>
      <c r="BZ14" s="11">
        <f t="shared" ca="1" si="23"/>
        <v>0</v>
      </c>
      <c r="CA14" s="11">
        <f t="shared" ca="1" si="24"/>
        <v>0</v>
      </c>
      <c r="CB14" s="11">
        <f t="shared" ca="1" si="25"/>
        <v>0</v>
      </c>
      <c r="CC14" s="11">
        <f t="shared" ca="1" si="26"/>
        <v>0</v>
      </c>
      <c r="CD14" s="11">
        <f t="shared" ca="1" si="27"/>
        <v>0</v>
      </c>
      <c r="CE14" s="11">
        <f t="shared" ca="1" si="28"/>
        <v>0</v>
      </c>
      <c r="CF14" s="11">
        <f t="shared" ca="1" si="29"/>
        <v>0</v>
      </c>
      <c r="CG14" s="11">
        <f t="shared" ca="1" si="30"/>
        <v>0</v>
      </c>
      <c r="CH14" s="11">
        <f t="shared" ca="1" si="31"/>
        <v>0</v>
      </c>
      <c r="CI14" s="11">
        <f t="shared" ca="1" si="32"/>
        <v>0</v>
      </c>
      <c r="CJ14" s="11">
        <f t="shared" ca="1" si="33"/>
        <v>0</v>
      </c>
      <c r="CK14" s="11">
        <f t="shared" ca="1" si="34"/>
        <v>0</v>
      </c>
      <c r="CL14" s="11">
        <f t="shared" ca="1" si="35"/>
        <v>0</v>
      </c>
      <c r="CM14" s="11">
        <f t="shared" ca="1" si="36"/>
        <v>0</v>
      </c>
      <c r="CN14" s="11">
        <f t="shared" ca="1" si="37"/>
        <v>0</v>
      </c>
    </row>
    <row r="15" spans="1:92" x14ac:dyDescent="0.3">
      <c r="A15" s="20">
        <v>7.7468317695999938</v>
      </c>
      <c r="B15">
        <v>9</v>
      </c>
      <c r="C15" t="s">
        <v>0</v>
      </c>
      <c r="D15" s="13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1</v>
      </c>
      <c r="K15" s="14">
        <v>1</v>
      </c>
      <c r="L15" s="15">
        <v>0</v>
      </c>
      <c r="M15" s="13">
        <v>1</v>
      </c>
      <c r="N15" s="14">
        <v>0</v>
      </c>
      <c r="O15" s="14">
        <v>0</v>
      </c>
      <c r="P15" s="15">
        <v>0</v>
      </c>
      <c r="Q15" s="13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5">
        <v>0</v>
      </c>
      <c r="X15" s="13">
        <v>0</v>
      </c>
      <c r="Y15" s="14">
        <v>0</v>
      </c>
      <c r="Z15" s="14">
        <v>0</v>
      </c>
      <c r="AA15" s="14">
        <v>0</v>
      </c>
      <c r="AB15" s="14">
        <v>0</v>
      </c>
      <c r="AC15" s="15">
        <v>0</v>
      </c>
      <c r="AD15" s="13">
        <v>0</v>
      </c>
      <c r="AE15" s="14">
        <v>0</v>
      </c>
      <c r="AF15" s="14">
        <v>0</v>
      </c>
      <c r="AG15" s="14">
        <v>0</v>
      </c>
      <c r="AH15" s="14">
        <v>0</v>
      </c>
      <c r="AI15" s="14">
        <v>0</v>
      </c>
      <c r="AJ15" s="14">
        <v>0</v>
      </c>
      <c r="AK15" s="14">
        <v>0</v>
      </c>
      <c r="AL15" s="14">
        <v>0</v>
      </c>
      <c r="AM15" s="14">
        <v>0</v>
      </c>
      <c r="AN15" s="14">
        <v>0</v>
      </c>
      <c r="AO15" s="15">
        <v>0</v>
      </c>
      <c r="AP15" s="13">
        <v>0</v>
      </c>
      <c r="AQ15" s="14">
        <v>0</v>
      </c>
      <c r="AR15" s="14">
        <v>0</v>
      </c>
      <c r="AS15" s="15">
        <v>0</v>
      </c>
      <c r="AU15">
        <f t="shared" si="3"/>
        <v>3</v>
      </c>
      <c r="AW15" s="12">
        <f t="shared" ca="1" si="4"/>
        <v>6.0466175999999991E-3</v>
      </c>
      <c r="AY15" s="11">
        <f t="shared" ca="1" si="5"/>
        <v>0</v>
      </c>
      <c r="AZ15" s="11">
        <f t="shared" ca="1" si="38"/>
        <v>0</v>
      </c>
      <c r="BA15" s="11">
        <f t="shared" ca="1" si="39"/>
        <v>0</v>
      </c>
      <c r="BB15" s="11">
        <f t="shared" ca="1" si="40"/>
        <v>0</v>
      </c>
      <c r="BC15" s="11">
        <f t="shared" ca="1" si="41"/>
        <v>0</v>
      </c>
      <c r="BD15" s="11">
        <f t="shared" ca="1" si="42"/>
        <v>0</v>
      </c>
      <c r="BE15" s="11">
        <f t="shared" ca="1" si="43"/>
        <v>6.0466175999999991E-3</v>
      </c>
      <c r="BF15" s="11">
        <f t="shared" ca="1" si="44"/>
        <v>3.6279705599999994E-3</v>
      </c>
      <c r="BG15" s="11">
        <f t="shared" ca="1" si="45"/>
        <v>0</v>
      </c>
      <c r="BH15" s="11">
        <f t="shared" ca="1" si="46"/>
        <v>6.0466175999999991E-3</v>
      </c>
      <c r="BI15" s="11">
        <f t="shared" ca="1" si="6"/>
        <v>0</v>
      </c>
      <c r="BJ15" s="11">
        <f t="shared" ca="1" si="7"/>
        <v>0</v>
      </c>
      <c r="BK15" s="11">
        <f t="shared" ca="1" si="8"/>
        <v>0</v>
      </c>
      <c r="BL15" s="11">
        <f t="shared" ca="1" si="9"/>
        <v>0</v>
      </c>
      <c r="BM15" s="11">
        <f t="shared" ca="1" si="10"/>
        <v>0</v>
      </c>
      <c r="BN15" s="11">
        <f t="shared" ca="1" si="11"/>
        <v>0</v>
      </c>
      <c r="BO15" s="11">
        <f t="shared" ca="1" si="12"/>
        <v>0</v>
      </c>
      <c r="BP15" s="11">
        <f t="shared" ca="1" si="13"/>
        <v>0</v>
      </c>
      <c r="BQ15" s="11">
        <f t="shared" ca="1" si="14"/>
        <v>0</v>
      </c>
      <c r="BR15" s="11">
        <f t="shared" ca="1" si="15"/>
        <v>0</v>
      </c>
      <c r="BS15" s="11">
        <f t="shared" ca="1" si="16"/>
        <v>0</v>
      </c>
      <c r="BT15" s="11">
        <f t="shared" ca="1" si="17"/>
        <v>0</v>
      </c>
      <c r="BU15" s="11">
        <f t="shared" ca="1" si="18"/>
        <v>0</v>
      </c>
      <c r="BV15" s="11">
        <f t="shared" ca="1" si="19"/>
        <v>0</v>
      </c>
      <c r="BW15" s="11">
        <f t="shared" ca="1" si="20"/>
        <v>0</v>
      </c>
      <c r="BX15" s="11">
        <f t="shared" ca="1" si="21"/>
        <v>0</v>
      </c>
      <c r="BY15" s="11">
        <f t="shared" ca="1" si="22"/>
        <v>0</v>
      </c>
      <c r="BZ15" s="11">
        <f t="shared" ca="1" si="23"/>
        <v>0</v>
      </c>
      <c r="CA15" s="11">
        <f t="shared" ca="1" si="24"/>
        <v>0</v>
      </c>
      <c r="CB15" s="11">
        <f t="shared" ca="1" si="25"/>
        <v>0</v>
      </c>
      <c r="CC15" s="11">
        <f t="shared" ca="1" si="26"/>
        <v>0</v>
      </c>
      <c r="CD15" s="11">
        <f t="shared" ca="1" si="27"/>
        <v>0</v>
      </c>
      <c r="CE15" s="11">
        <f t="shared" ca="1" si="28"/>
        <v>0</v>
      </c>
      <c r="CF15" s="11">
        <f t="shared" ca="1" si="29"/>
        <v>0</v>
      </c>
      <c r="CG15" s="11">
        <f t="shared" ca="1" si="30"/>
        <v>0</v>
      </c>
      <c r="CH15" s="11">
        <f t="shared" ca="1" si="31"/>
        <v>0</v>
      </c>
      <c r="CI15" s="11">
        <f t="shared" ca="1" si="32"/>
        <v>0</v>
      </c>
      <c r="CJ15" s="11">
        <f t="shared" ca="1" si="33"/>
        <v>0</v>
      </c>
      <c r="CK15" s="11">
        <f t="shared" ca="1" si="34"/>
        <v>0</v>
      </c>
      <c r="CL15" s="11">
        <f t="shared" ca="1" si="35"/>
        <v>0</v>
      </c>
      <c r="CM15" s="11">
        <f t="shared" ca="1" si="36"/>
        <v>0</v>
      </c>
      <c r="CN15" s="11">
        <f t="shared" ca="1" si="37"/>
        <v>0</v>
      </c>
    </row>
    <row r="16" spans="1:92" x14ac:dyDescent="0.3">
      <c r="A16" s="20">
        <v>7.9992156159999963</v>
      </c>
      <c r="B16">
        <v>10</v>
      </c>
      <c r="C16" t="s">
        <v>1</v>
      </c>
      <c r="D16" s="13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5">
        <v>1</v>
      </c>
      <c r="M16" s="13">
        <v>0</v>
      </c>
      <c r="N16" s="14">
        <v>1</v>
      </c>
      <c r="O16" s="14">
        <v>1</v>
      </c>
      <c r="P16" s="15">
        <v>0</v>
      </c>
      <c r="Q16" s="13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5">
        <v>0</v>
      </c>
      <c r="X16" s="13">
        <v>0</v>
      </c>
      <c r="Y16" s="14">
        <v>0</v>
      </c>
      <c r="Z16" s="14">
        <v>0</v>
      </c>
      <c r="AA16" s="14">
        <v>0</v>
      </c>
      <c r="AB16" s="14">
        <v>0</v>
      </c>
      <c r="AC16" s="15">
        <v>0</v>
      </c>
      <c r="AD16" s="13">
        <v>0</v>
      </c>
      <c r="AE16" s="14">
        <v>0</v>
      </c>
      <c r="AF16" s="14">
        <v>0</v>
      </c>
      <c r="AG16" s="14">
        <v>0</v>
      </c>
      <c r="AH16" s="14">
        <v>0</v>
      </c>
      <c r="AI16" s="14">
        <v>0</v>
      </c>
      <c r="AJ16" s="14">
        <v>0</v>
      </c>
      <c r="AK16" s="14">
        <v>0</v>
      </c>
      <c r="AL16" s="14">
        <v>0</v>
      </c>
      <c r="AM16" s="14">
        <v>0</v>
      </c>
      <c r="AN16" s="14">
        <v>0</v>
      </c>
      <c r="AO16" s="15">
        <v>0</v>
      </c>
      <c r="AP16" s="13">
        <v>0</v>
      </c>
      <c r="AQ16" s="14">
        <v>0</v>
      </c>
      <c r="AR16" s="14">
        <v>0</v>
      </c>
      <c r="AS16" s="15">
        <v>0</v>
      </c>
      <c r="AU16">
        <f t="shared" si="3"/>
        <v>3</v>
      </c>
      <c r="AW16" s="12">
        <f t="shared" ca="1" si="4"/>
        <v>1.0077695999999999E-2</v>
      </c>
      <c r="AY16" s="11">
        <f t="shared" ca="1" si="5"/>
        <v>0</v>
      </c>
      <c r="AZ16" s="11">
        <f t="shared" ca="1" si="38"/>
        <v>0</v>
      </c>
      <c r="BA16" s="11">
        <f t="shared" ca="1" si="39"/>
        <v>0</v>
      </c>
      <c r="BB16" s="11">
        <f t="shared" ca="1" si="40"/>
        <v>0</v>
      </c>
      <c r="BC16" s="11">
        <f t="shared" ca="1" si="41"/>
        <v>0</v>
      </c>
      <c r="BD16" s="11">
        <f t="shared" ca="1" si="42"/>
        <v>0</v>
      </c>
      <c r="BE16" s="11">
        <f t="shared" ca="1" si="43"/>
        <v>0</v>
      </c>
      <c r="BF16" s="11">
        <f t="shared" ca="1" si="44"/>
        <v>0</v>
      </c>
      <c r="BG16" s="11">
        <f t="shared" ca="1" si="45"/>
        <v>3.6279705599999994E-3</v>
      </c>
      <c r="BH16" s="11">
        <f t="shared" ca="1" si="46"/>
        <v>0</v>
      </c>
      <c r="BI16" s="11">
        <f t="shared" ca="1" si="6"/>
        <v>6.0466175999999991E-3</v>
      </c>
      <c r="BJ16" s="11">
        <f t="shared" ca="1" si="7"/>
        <v>1.0077695999999999E-2</v>
      </c>
      <c r="BK16" s="11">
        <f t="shared" ca="1" si="8"/>
        <v>0</v>
      </c>
      <c r="BL16" s="11">
        <f t="shared" ca="1" si="9"/>
        <v>0</v>
      </c>
      <c r="BM16" s="11">
        <f t="shared" ca="1" si="10"/>
        <v>0</v>
      </c>
      <c r="BN16" s="11">
        <f t="shared" ca="1" si="11"/>
        <v>0</v>
      </c>
      <c r="BO16" s="11">
        <f t="shared" ca="1" si="12"/>
        <v>0</v>
      </c>
      <c r="BP16" s="11">
        <f t="shared" ca="1" si="13"/>
        <v>0</v>
      </c>
      <c r="BQ16" s="11">
        <f t="shared" ca="1" si="14"/>
        <v>0</v>
      </c>
      <c r="BR16" s="11">
        <f t="shared" ca="1" si="15"/>
        <v>0</v>
      </c>
      <c r="BS16" s="11">
        <f t="shared" ca="1" si="16"/>
        <v>0</v>
      </c>
      <c r="BT16" s="11">
        <f t="shared" ca="1" si="17"/>
        <v>0</v>
      </c>
      <c r="BU16" s="11">
        <f t="shared" ca="1" si="18"/>
        <v>0</v>
      </c>
      <c r="BV16" s="11">
        <f t="shared" ca="1" si="19"/>
        <v>0</v>
      </c>
      <c r="BW16" s="11">
        <f t="shared" ca="1" si="20"/>
        <v>0</v>
      </c>
      <c r="BX16" s="11">
        <f t="shared" ca="1" si="21"/>
        <v>0</v>
      </c>
      <c r="BY16" s="11">
        <f t="shared" ca="1" si="22"/>
        <v>0</v>
      </c>
      <c r="BZ16" s="11">
        <f t="shared" ca="1" si="23"/>
        <v>0</v>
      </c>
      <c r="CA16" s="11">
        <f t="shared" ca="1" si="24"/>
        <v>0</v>
      </c>
      <c r="CB16" s="11">
        <f t="shared" ca="1" si="25"/>
        <v>0</v>
      </c>
      <c r="CC16" s="11">
        <f t="shared" ca="1" si="26"/>
        <v>0</v>
      </c>
      <c r="CD16" s="11">
        <f t="shared" ca="1" si="27"/>
        <v>0</v>
      </c>
      <c r="CE16" s="11">
        <f t="shared" ca="1" si="28"/>
        <v>0</v>
      </c>
      <c r="CF16" s="11">
        <f t="shared" ca="1" si="29"/>
        <v>0</v>
      </c>
      <c r="CG16" s="11">
        <f t="shared" ca="1" si="30"/>
        <v>0</v>
      </c>
      <c r="CH16" s="11">
        <f t="shared" ca="1" si="31"/>
        <v>0</v>
      </c>
      <c r="CI16" s="11">
        <f t="shared" ca="1" si="32"/>
        <v>0</v>
      </c>
      <c r="CJ16" s="11">
        <f t="shared" ca="1" si="33"/>
        <v>0</v>
      </c>
      <c r="CK16" s="11">
        <f t="shared" ca="1" si="34"/>
        <v>0</v>
      </c>
      <c r="CL16" s="11">
        <f t="shared" ca="1" si="35"/>
        <v>0</v>
      </c>
      <c r="CM16" s="11">
        <f t="shared" ca="1" si="36"/>
        <v>0</v>
      </c>
      <c r="CN16" s="11">
        <f t="shared" ca="1" si="37"/>
        <v>0</v>
      </c>
    </row>
    <row r="17" spans="1:92" x14ac:dyDescent="0.3">
      <c r="A17" s="20">
        <v>7.1907420159999988</v>
      </c>
      <c r="B17">
        <v>11</v>
      </c>
      <c r="C17" t="s">
        <v>1</v>
      </c>
      <c r="D17" s="13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5">
        <v>0</v>
      </c>
      <c r="M17" s="13">
        <v>1</v>
      </c>
      <c r="N17" s="14">
        <v>0</v>
      </c>
      <c r="O17" s="14">
        <v>1</v>
      </c>
      <c r="P17" s="15">
        <v>1</v>
      </c>
      <c r="Q17" s="13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5">
        <v>0</v>
      </c>
      <c r="X17" s="13">
        <v>0</v>
      </c>
      <c r="Y17" s="14">
        <v>0</v>
      </c>
      <c r="Z17" s="14">
        <v>0</v>
      </c>
      <c r="AA17" s="14">
        <v>0</v>
      </c>
      <c r="AB17" s="14">
        <v>0</v>
      </c>
      <c r="AC17" s="15">
        <v>0</v>
      </c>
      <c r="AD17" s="13">
        <v>0</v>
      </c>
      <c r="AE17" s="14">
        <v>0</v>
      </c>
      <c r="AF17" s="14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5">
        <v>0</v>
      </c>
      <c r="AP17" s="13">
        <v>0</v>
      </c>
      <c r="AQ17" s="14">
        <v>0</v>
      </c>
      <c r="AR17" s="14">
        <v>0</v>
      </c>
      <c r="AS17" s="15">
        <v>0</v>
      </c>
      <c r="AU17">
        <f t="shared" si="3"/>
        <v>3</v>
      </c>
      <c r="AW17" s="12">
        <f t="shared" ca="1" si="4"/>
        <v>1.0077695999999999E-2</v>
      </c>
      <c r="AY17" s="11">
        <f t="shared" ca="1" si="5"/>
        <v>0</v>
      </c>
      <c r="AZ17" s="11">
        <f t="shared" ca="1" si="38"/>
        <v>0</v>
      </c>
      <c r="BA17" s="11">
        <f t="shared" ca="1" si="39"/>
        <v>0</v>
      </c>
      <c r="BB17" s="11">
        <f t="shared" ca="1" si="40"/>
        <v>0</v>
      </c>
      <c r="BC17" s="11">
        <f t="shared" ca="1" si="41"/>
        <v>0</v>
      </c>
      <c r="BD17" s="11">
        <f t="shared" ca="1" si="42"/>
        <v>0</v>
      </c>
      <c r="BE17" s="11">
        <f t="shared" ca="1" si="43"/>
        <v>0</v>
      </c>
      <c r="BF17" s="11">
        <f t="shared" ca="1" si="44"/>
        <v>0</v>
      </c>
      <c r="BG17" s="11">
        <f t="shared" ca="1" si="45"/>
        <v>0</v>
      </c>
      <c r="BH17" s="11">
        <f t="shared" ca="1" si="46"/>
        <v>6.0466175999999991E-3</v>
      </c>
      <c r="BI17" s="11">
        <f t="shared" ca="1" si="6"/>
        <v>0</v>
      </c>
      <c r="BJ17" s="11">
        <f t="shared" ca="1" si="7"/>
        <v>1.0077695999999999E-2</v>
      </c>
      <c r="BK17" s="11">
        <f t="shared" ca="1" si="8"/>
        <v>6.0466175999999991E-3</v>
      </c>
      <c r="BL17" s="11">
        <f t="shared" ca="1" si="9"/>
        <v>0</v>
      </c>
      <c r="BM17" s="11">
        <f t="shared" ca="1" si="10"/>
        <v>0</v>
      </c>
      <c r="BN17" s="11">
        <f t="shared" ca="1" si="11"/>
        <v>0</v>
      </c>
      <c r="BO17" s="11">
        <f t="shared" ca="1" si="12"/>
        <v>0</v>
      </c>
      <c r="BP17" s="11">
        <f t="shared" ca="1" si="13"/>
        <v>0</v>
      </c>
      <c r="BQ17" s="11">
        <f t="shared" ca="1" si="14"/>
        <v>0</v>
      </c>
      <c r="BR17" s="11">
        <f t="shared" ca="1" si="15"/>
        <v>0</v>
      </c>
      <c r="BS17" s="11">
        <f t="shared" ca="1" si="16"/>
        <v>0</v>
      </c>
      <c r="BT17" s="11">
        <f t="shared" ca="1" si="17"/>
        <v>0</v>
      </c>
      <c r="BU17" s="11">
        <f t="shared" ca="1" si="18"/>
        <v>0</v>
      </c>
      <c r="BV17" s="11">
        <f t="shared" ca="1" si="19"/>
        <v>0</v>
      </c>
      <c r="BW17" s="11">
        <f t="shared" ca="1" si="20"/>
        <v>0</v>
      </c>
      <c r="BX17" s="11">
        <f t="shared" ca="1" si="21"/>
        <v>0</v>
      </c>
      <c r="BY17" s="11">
        <f t="shared" ca="1" si="22"/>
        <v>0</v>
      </c>
      <c r="BZ17" s="11">
        <f t="shared" ca="1" si="23"/>
        <v>0</v>
      </c>
      <c r="CA17" s="11">
        <f t="shared" ca="1" si="24"/>
        <v>0</v>
      </c>
      <c r="CB17" s="11">
        <f t="shared" ca="1" si="25"/>
        <v>0</v>
      </c>
      <c r="CC17" s="11">
        <f t="shared" ca="1" si="26"/>
        <v>0</v>
      </c>
      <c r="CD17" s="11">
        <f t="shared" ca="1" si="27"/>
        <v>0</v>
      </c>
      <c r="CE17" s="11">
        <f t="shared" ca="1" si="28"/>
        <v>0</v>
      </c>
      <c r="CF17" s="11">
        <f t="shared" ca="1" si="29"/>
        <v>0</v>
      </c>
      <c r="CG17" s="11">
        <f t="shared" ca="1" si="30"/>
        <v>0</v>
      </c>
      <c r="CH17" s="11">
        <f t="shared" ca="1" si="31"/>
        <v>0</v>
      </c>
      <c r="CI17" s="11">
        <f t="shared" ca="1" si="32"/>
        <v>0</v>
      </c>
      <c r="CJ17" s="11">
        <f t="shared" ca="1" si="33"/>
        <v>0</v>
      </c>
      <c r="CK17" s="11">
        <f t="shared" ca="1" si="34"/>
        <v>0</v>
      </c>
      <c r="CL17" s="11">
        <f t="shared" ca="1" si="35"/>
        <v>0</v>
      </c>
      <c r="CM17" s="11">
        <f t="shared" ca="1" si="36"/>
        <v>0</v>
      </c>
      <c r="CN17" s="11">
        <f t="shared" ca="1" si="37"/>
        <v>0</v>
      </c>
    </row>
    <row r="18" spans="1:92" x14ac:dyDescent="0.3">
      <c r="A18" s="20">
        <v>9.1254169600000044</v>
      </c>
      <c r="B18">
        <v>12</v>
      </c>
      <c r="C18" t="s">
        <v>1</v>
      </c>
      <c r="D18" s="13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5">
        <v>0</v>
      </c>
      <c r="M18" s="13">
        <v>1</v>
      </c>
      <c r="N18" s="14">
        <v>1</v>
      </c>
      <c r="O18" s="14">
        <v>0</v>
      </c>
      <c r="P18" s="15">
        <v>1</v>
      </c>
      <c r="Q18" s="13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5">
        <v>0</v>
      </c>
      <c r="X18" s="13">
        <v>1</v>
      </c>
      <c r="Y18" s="14">
        <v>0</v>
      </c>
      <c r="Z18" s="14">
        <v>0</v>
      </c>
      <c r="AA18" s="14">
        <v>0</v>
      </c>
      <c r="AB18" s="14">
        <v>0</v>
      </c>
      <c r="AC18" s="15">
        <v>0</v>
      </c>
      <c r="AD18" s="13">
        <v>0</v>
      </c>
      <c r="AE18" s="14">
        <v>0</v>
      </c>
      <c r="AF18" s="14">
        <v>0</v>
      </c>
      <c r="AG18" s="14">
        <v>0</v>
      </c>
      <c r="AH18" s="14">
        <v>0</v>
      </c>
      <c r="AI18" s="14">
        <v>0</v>
      </c>
      <c r="AJ18" s="14">
        <v>0</v>
      </c>
      <c r="AK18" s="14">
        <v>0</v>
      </c>
      <c r="AL18" s="14">
        <v>0</v>
      </c>
      <c r="AM18" s="14">
        <v>0</v>
      </c>
      <c r="AN18" s="14">
        <v>0</v>
      </c>
      <c r="AO18" s="15">
        <v>0</v>
      </c>
      <c r="AP18" s="13">
        <v>0</v>
      </c>
      <c r="AQ18" s="14">
        <v>0</v>
      </c>
      <c r="AR18" s="14">
        <v>0</v>
      </c>
      <c r="AS18" s="15">
        <v>0</v>
      </c>
      <c r="AU18">
        <f t="shared" si="3"/>
        <v>4</v>
      </c>
      <c r="AW18" s="12">
        <f t="shared" ca="1" si="4"/>
        <v>1.6796159999999997E-2</v>
      </c>
      <c r="AY18" s="11">
        <f t="shared" ca="1" si="5"/>
        <v>0</v>
      </c>
      <c r="AZ18" s="11">
        <f t="shared" ca="1" si="38"/>
        <v>0</v>
      </c>
      <c r="BA18" s="11">
        <f t="shared" ca="1" si="39"/>
        <v>0</v>
      </c>
      <c r="BB18" s="11">
        <f t="shared" ca="1" si="40"/>
        <v>0</v>
      </c>
      <c r="BC18" s="11">
        <f t="shared" ca="1" si="41"/>
        <v>0</v>
      </c>
      <c r="BD18" s="11">
        <f t="shared" ca="1" si="42"/>
        <v>0</v>
      </c>
      <c r="BE18" s="11">
        <f t="shared" ca="1" si="43"/>
        <v>0</v>
      </c>
      <c r="BF18" s="11">
        <f t="shared" ca="1" si="44"/>
        <v>0</v>
      </c>
      <c r="BG18" s="11">
        <f t="shared" ca="1" si="45"/>
        <v>0</v>
      </c>
      <c r="BH18" s="11">
        <f t="shared" ca="1" si="46"/>
        <v>6.0466175999999991E-3</v>
      </c>
      <c r="BI18" s="11">
        <f t="shared" ca="1" si="6"/>
        <v>6.0466175999999991E-3</v>
      </c>
      <c r="BJ18" s="11">
        <f t="shared" ca="1" si="7"/>
        <v>0</v>
      </c>
      <c r="BK18" s="11">
        <f t="shared" ca="1" si="8"/>
        <v>6.0466175999999991E-3</v>
      </c>
      <c r="BL18" s="11">
        <f t="shared" ca="1" si="9"/>
        <v>0</v>
      </c>
      <c r="BM18" s="11">
        <f t="shared" ca="1" si="10"/>
        <v>0</v>
      </c>
      <c r="BN18" s="11">
        <f t="shared" ca="1" si="11"/>
        <v>0</v>
      </c>
      <c r="BO18" s="11">
        <f t="shared" ca="1" si="12"/>
        <v>0</v>
      </c>
      <c r="BP18" s="11">
        <f t="shared" ca="1" si="13"/>
        <v>0</v>
      </c>
      <c r="BQ18" s="11">
        <f t="shared" ca="1" si="14"/>
        <v>0</v>
      </c>
      <c r="BR18" s="11">
        <f t="shared" ca="1" si="15"/>
        <v>0</v>
      </c>
      <c r="BS18" s="11">
        <f t="shared" ca="1" si="16"/>
        <v>1.6796159999999997E-2</v>
      </c>
      <c r="BT18" s="11">
        <f t="shared" ca="1" si="17"/>
        <v>0</v>
      </c>
      <c r="BU18" s="11">
        <f t="shared" ca="1" si="18"/>
        <v>0</v>
      </c>
      <c r="BV18" s="11">
        <f t="shared" ca="1" si="19"/>
        <v>0</v>
      </c>
      <c r="BW18" s="11">
        <f t="shared" ca="1" si="20"/>
        <v>0</v>
      </c>
      <c r="BX18" s="11">
        <f t="shared" ca="1" si="21"/>
        <v>0</v>
      </c>
      <c r="BY18" s="11">
        <f t="shared" ca="1" si="22"/>
        <v>0</v>
      </c>
      <c r="BZ18" s="11">
        <f t="shared" ca="1" si="23"/>
        <v>0</v>
      </c>
      <c r="CA18" s="11">
        <f t="shared" ca="1" si="24"/>
        <v>0</v>
      </c>
      <c r="CB18" s="11">
        <f t="shared" ca="1" si="25"/>
        <v>0</v>
      </c>
      <c r="CC18" s="11">
        <f t="shared" ca="1" si="26"/>
        <v>0</v>
      </c>
      <c r="CD18" s="11">
        <f t="shared" ca="1" si="27"/>
        <v>0</v>
      </c>
      <c r="CE18" s="11">
        <f t="shared" ca="1" si="28"/>
        <v>0</v>
      </c>
      <c r="CF18" s="11">
        <f t="shared" ca="1" si="29"/>
        <v>0</v>
      </c>
      <c r="CG18" s="11">
        <f t="shared" ca="1" si="30"/>
        <v>0</v>
      </c>
      <c r="CH18" s="11">
        <f t="shared" ca="1" si="31"/>
        <v>0</v>
      </c>
      <c r="CI18" s="11">
        <f t="shared" ca="1" si="32"/>
        <v>0</v>
      </c>
      <c r="CJ18" s="11">
        <f t="shared" ca="1" si="33"/>
        <v>0</v>
      </c>
      <c r="CK18" s="11">
        <f t="shared" ca="1" si="34"/>
        <v>0</v>
      </c>
      <c r="CL18" s="11">
        <f t="shared" ca="1" si="35"/>
        <v>0</v>
      </c>
      <c r="CM18" s="11">
        <f t="shared" ca="1" si="36"/>
        <v>0</v>
      </c>
      <c r="CN18" s="11">
        <f t="shared" ca="1" si="37"/>
        <v>0</v>
      </c>
    </row>
    <row r="19" spans="1:92" x14ac:dyDescent="0.3">
      <c r="A19" s="20">
        <v>6.3552501760000002</v>
      </c>
      <c r="B19">
        <v>13</v>
      </c>
      <c r="C19" t="s">
        <v>1</v>
      </c>
      <c r="D19" s="13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5">
        <v>0</v>
      </c>
      <c r="M19" s="13">
        <v>0</v>
      </c>
      <c r="N19" s="14">
        <v>1</v>
      </c>
      <c r="O19" s="14">
        <v>1</v>
      </c>
      <c r="P19" s="15">
        <v>0</v>
      </c>
      <c r="Q19" s="13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5">
        <v>0</v>
      </c>
      <c r="X19" s="13">
        <v>0</v>
      </c>
      <c r="Y19" s="14">
        <v>0</v>
      </c>
      <c r="Z19" s="14">
        <v>0</v>
      </c>
      <c r="AA19" s="14">
        <v>0</v>
      </c>
      <c r="AB19" s="14">
        <v>0</v>
      </c>
      <c r="AC19" s="15">
        <v>0</v>
      </c>
      <c r="AD19" s="13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5">
        <v>0</v>
      </c>
      <c r="AP19" s="13">
        <v>0</v>
      </c>
      <c r="AQ19" s="14">
        <v>0</v>
      </c>
      <c r="AR19" s="14">
        <v>0</v>
      </c>
      <c r="AS19" s="15">
        <v>0</v>
      </c>
      <c r="AU19">
        <f t="shared" si="3"/>
        <v>2</v>
      </c>
      <c r="AW19" s="12">
        <f t="shared" ca="1" si="4"/>
        <v>1.0077695999999999E-2</v>
      </c>
      <c r="AY19" s="11">
        <f t="shared" ca="1" si="5"/>
        <v>0</v>
      </c>
      <c r="AZ19" s="11">
        <f t="shared" ca="1" si="38"/>
        <v>0</v>
      </c>
      <c r="BA19" s="11">
        <f t="shared" ca="1" si="39"/>
        <v>0</v>
      </c>
      <c r="BB19" s="11">
        <f t="shared" ca="1" si="40"/>
        <v>0</v>
      </c>
      <c r="BC19" s="11">
        <f t="shared" ca="1" si="41"/>
        <v>0</v>
      </c>
      <c r="BD19" s="11">
        <f t="shared" ca="1" si="42"/>
        <v>0</v>
      </c>
      <c r="BE19" s="11">
        <f t="shared" ca="1" si="43"/>
        <v>0</v>
      </c>
      <c r="BF19" s="11">
        <f t="shared" ca="1" si="44"/>
        <v>0</v>
      </c>
      <c r="BG19" s="11">
        <f t="shared" ca="1" si="45"/>
        <v>0</v>
      </c>
      <c r="BH19" s="11">
        <f t="shared" ca="1" si="46"/>
        <v>0</v>
      </c>
      <c r="BI19" s="11">
        <f t="shared" ca="1" si="6"/>
        <v>6.0466175999999991E-3</v>
      </c>
      <c r="BJ19" s="11">
        <f t="shared" ca="1" si="7"/>
        <v>1.0077695999999999E-2</v>
      </c>
      <c r="BK19" s="11">
        <f t="shared" ca="1" si="8"/>
        <v>0</v>
      </c>
      <c r="BL19" s="11">
        <f t="shared" ca="1" si="9"/>
        <v>0</v>
      </c>
      <c r="BM19" s="11">
        <f t="shared" ca="1" si="10"/>
        <v>0</v>
      </c>
      <c r="BN19" s="11">
        <f t="shared" ca="1" si="11"/>
        <v>0</v>
      </c>
      <c r="BO19" s="11">
        <f t="shared" ca="1" si="12"/>
        <v>0</v>
      </c>
      <c r="BP19" s="11">
        <f t="shared" ca="1" si="13"/>
        <v>0</v>
      </c>
      <c r="BQ19" s="11">
        <f t="shared" ca="1" si="14"/>
        <v>0</v>
      </c>
      <c r="BR19" s="11">
        <f t="shared" ca="1" si="15"/>
        <v>0</v>
      </c>
      <c r="BS19" s="11">
        <f t="shared" ca="1" si="16"/>
        <v>0</v>
      </c>
      <c r="BT19" s="11">
        <f t="shared" ca="1" si="17"/>
        <v>0</v>
      </c>
      <c r="BU19" s="11">
        <f t="shared" ca="1" si="18"/>
        <v>0</v>
      </c>
      <c r="BV19" s="11">
        <f t="shared" ca="1" si="19"/>
        <v>0</v>
      </c>
      <c r="BW19" s="11">
        <f t="shared" ca="1" si="20"/>
        <v>0</v>
      </c>
      <c r="BX19" s="11">
        <f t="shared" ca="1" si="21"/>
        <v>0</v>
      </c>
      <c r="BY19" s="11">
        <f t="shared" ca="1" si="22"/>
        <v>0</v>
      </c>
      <c r="BZ19" s="11">
        <f t="shared" ca="1" si="23"/>
        <v>0</v>
      </c>
      <c r="CA19" s="11">
        <f t="shared" ca="1" si="24"/>
        <v>0</v>
      </c>
      <c r="CB19" s="11">
        <f t="shared" ca="1" si="25"/>
        <v>0</v>
      </c>
      <c r="CC19" s="11">
        <f t="shared" ca="1" si="26"/>
        <v>0</v>
      </c>
      <c r="CD19" s="11">
        <f t="shared" ca="1" si="27"/>
        <v>0</v>
      </c>
      <c r="CE19" s="11">
        <f t="shared" ca="1" si="28"/>
        <v>0</v>
      </c>
      <c r="CF19" s="11">
        <f t="shared" ca="1" si="29"/>
        <v>0</v>
      </c>
      <c r="CG19" s="11">
        <f t="shared" ca="1" si="30"/>
        <v>0</v>
      </c>
      <c r="CH19" s="11">
        <f t="shared" ca="1" si="31"/>
        <v>0</v>
      </c>
      <c r="CI19" s="11">
        <f t="shared" ca="1" si="32"/>
        <v>0</v>
      </c>
      <c r="CJ19" s="11">
        <f t="shared" ca="1" si="33"/>
        <v>0</v>
      </c>
      <c r="CK19" s="11">
        <f t="shared" ca="1" si="34"/>
        <v>0</v>
      </c>
      <c r="CL19" s="11">
        <f t="shared" ca="1" si="35"/>
        <v>0</v>
      </c>
      <c r="CM19" s="11">
        <f t="shared" ca="1" si="36"/>
        <v>0</v>
      </c>
      <c r="CN19" s="11">
        <f t="shared" ca="1" si="37"/>
        <v>0</v>
      </c>
    </row>
    <row r="20" spans="1:92" x14ac:dyDescent="0.3">
      <c r="A20" s="20">
        <v>8.9674393599999984</v>
      </c>
      <c r="B20">
        <v>14</v>
      </c>
      <c r="C20" t="s">
        <v>2</v>
      </c>
      <c r="D20" s="13">
        <v>0</v>
      </c>
      <c r="E20" s="14">
        <v>0</v>
      </c>
      <c r="F20" s="14">
        <v>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5">
        <v>0</v>
      </c>
      <c r="M20" s="13">
        <v>0</v>
      </c>
      <c r="N20" s="14">
        <v>0</v>
      </c>
      <c r="O20" s="14">
        <v>0</v>
      </c>
      <c r="P20" s="15">
        <v>0</v>
      </c>
      <c r="Q20" s="13">
        <v>0</v>
      </c>
      <c r="R20" s="14">
        <v>1</v>
      </c>
      <c r="S20" s="14">
        <v>1</v>
      </c>
      <c r="T20" s="14">
        <v>0</v>
      </c>
      <c r="U20" s="14">
        <v>0</v>
      </c>
      <c r="V20" s="14">
        <v>0</v>
      </c>
      <c r="W20" s="15">
        <v>0</v>
      </c>
      <c r="X20" s="13">
        <v>0</v>
      </c>
      <c r="Y20" s="14">
        <v>0</v>
      </c>
      <c r="Z20" s="14">
        <v>0</v>
      </c>
      <c r="AA20" s="14">
        <v>0</v>
      </c>
      <c r="AB20" s="14">
        <v>0</v>
      </c>
      <c r="AC20" s="15">
        <v>0</v>
      </c>
      <c r="AD20" s="13">
        <v>0</v>
      </c>
      <c r="AE20" s="14">
        <v>0</v>
      </c>
      <c r="AF20" s="14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5">
        <v>0</v>
      </c>
      <c r="AP20" s="13">
        <v>0</v>
      </c>
      <c r="AQ20" s="14">
        <v>0</v>
      </c>
      <c r="AR20" s="14">
        <v>0</v>
      </c>
      <c r="AS20" s="15">
        <v>0</v>
      </c>
      <c r="AU20">
        <f t="shared" si="3"/>
        <v>3</v>
      </c>
      <c r="AW20" s="12">
        <f t="shared" ca="1" si="4"/>
        <v>1.6796159999999997E-2</v>
      </c>
      <c r="AY20" s="11">
        <f t="shared" ca="1" si="5"/>
        <v>0</v>
      </c>
      <c r="AZ20" s="11">
        <f t="shared" ca="1" si="38"/>
        <v>0</v>
      </c>
      <c r="BA20" s="11">
        <f t="shared" ca="1" si="39"/>
        <v>6.0466175999999991E-3</v>
      </c>
      <c r="BB20" s="11">
        <f t="shared" ca="1" si="40"/>
        <v>0</v>
      </c>
      <c r="BC20" s="11">
        <f t="shared" ca="1" si="41"/>
        <v>0</v>
      </c>
      <c r="BD20" s="11">
        <f t="shared" ca="1" si="42"/>
        <v>0</v>
      </c>
      <c r="BE20" s="11">
        <f t="shared" ca="1" si="43"/>
        <v>0</v>
      </c>
      <c r="BF20" s="11">
        <f t="shared" ca="1" si="44"/>
        <v>0</v>
      </c>
      <c r="BG20" s="11">
        <f t="shared" ca="1" si="45"/>
        <v>0</v>
      </c>
      <c r="BH20" s="11">
        <f t="shared" ca="1" si="46"/>
        <v>0</v>
      </c>
      <c r="BI20" s="11">
        <f t="shared" ca="1" si="6"/>
        <v>0</v>
      </c>
      <c r="BJ20" s="11">
        <f t="shared" ca="1" si="7"/>
        <v>0</v>
      </c>
      <c r="BK20" s="11">
        <f t="shared" ca="1" si="8"/>
        <v>0</v>
      </c>
      <c r="BL20" s="11">
        <f t="shared" ca="1" si="9"/>
        <v>0</v>
      </c>
      <c r="BM20" s="11">
        <f t="shared" ca="1" si="10"/>
        <v>1.0077695999999999E-2</v>
      </c>
      <c r="BN20" s="11">
        <f t="shared" ca="1" si="11"/>
        <v>1.6796159999999997E-2</v>
      </c>
      <c r="BO20" s="11">
        <f t="shared" ca="1" si="12"/>
        <v>0</v>
      </c>
      <c r="BP20" s="11">
        <f t="shared" ca="1" si="13"/>
        <v>0</v>
      </c>
      <c r="BQ20" s="11">
        <f t="shared" ca="1" si="14"/>
        <v>0</v>
      </c>
      <c r="BR20" s="11">
        <f t="shared" ca="1" si="15"/>
        <v>0</v>
      </c>
      <c r="BS20" s="11">
        <f t="shared" ca="1" si="16"/>
        <v>0</v>
      </c>
      <c r="BT20" s="11">
        <f t="shared" ca="1" si="17"/>
        <v>0</v>
      </c>
      <c r="BU20" s="11">
        <f t="shared" ca="1" si="18"/>
        <v>0</v>
      </c>
      <c r="BV20" s="11">
        <f t="shared" ca="1" si="19"/>
        <v>0</v>
      </c>
      <c r="BW20" s="11">
        <f t="shared" ca="1" si="20"/>
        <v>0</v>
      </c>
      <c r="BX20" s="11">
        <f t="shared" ca="1" si="21"/>
        <v>0</v>
      </c>
      <c r="BY20" s="11">
        <f t="shared" ca="1" si="22"/>
        <v>0</v>
      </c>
      <c r="BZ20" s="11">
        <f t="shared" ca="1" si="23"/>
        <v>0</v>
      </c>
      <c r="CA20" s="11">
        <f t="shared" ca="1" si="24"/>
        <v>0</v>
      </c>
      <c r="CB20" s="11">
        <f t="shared" ca="1" si="25"/>
        <v>0</v>
      </c>
      <c r="CC20" s="11">
        <f t="shared" ca="1" si="26"/>
        <v>0</v>
      </c>
      <c r="CD20" s="11">
        <f t="shared" ca="1" si="27"/>
        <v>0</v>
      </c>
      <c r="CE20" s="11">
        <f t="shared" ca="1" si="28"/>
        <v>0</v>
      </c>
      <c r="CF20" s="11">
        <f t="shared" ca="1" si="29"/>
        <v>0</v>
      </c>
      <c r="CG20" s="11">
        <f t="shared" ca="1" si="30"/>
        <v>0</v>
      </c>
      <c r="CH20" s="11">
        <f t="shared" ca="1" si="31"/>
        <v>0</v>
      </c>
      <c r="CI20" s="11">
        <f t="shared" ca="1" si="32"/>
        <v>0</v>
      </c>
      <c r="CJ20" s="11">
        <f t="shared" ca="1" si="33"/>
        <v>0</v>
      </c>
      <c r="CK20" s="11">
        <f t="shared" ca="1" si="34"/>
        <v>0</v>
      </c>
      <c r="CL20" s="11">
        <f t="shared" ca="1" si="35"/>
        <v>0</v>
      </c>
      <c r="CM20" s="11">
        <f t="shared" ca="1" si="36"/>
        <v>0</v>
      </c>
      <c r="CN20" s="11">
        <f t="shared" ca="1" si="37"/>
        <v>0</v>
      </c>
    </row>
    <row r="21" spans="1:92" x14ac:dyDescent="0.3">
      <c r="A21" s="20">
        <v>9.1878553599999986</v>
      </c>
      <c r="B21">
        <v>15</v>
      </c>
      <c r="C21" t="s">
        <v>2</v>
      </c>
      <c r="D21" s="13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5">
        <v>0</v>
      </c>
      <c r="M21" s="13">
        <v>0</v>
      </c>
      <c r="N21" s="14">
        <v>0</v>
      </c>
      <c r="O21" s="14">
        <v>0</v>
      </c>
      <c r="P21" s="15">
        <v>0</v>
      </c>
      <c r="Q21" s="13">
        <v>1</v>
      </c>
      <c r="R21" s="14">
        <v>0</v>
      </c>
      <c r="S21" s="14">
        <v>1</v>
      </c>
      <c r="T21" s="14">
        <v>0</v>
      </c>
      <c r="U21" s="14">
        <v>1</v>
      </c>
      <c r="V21" s="14">
        <v>1</v>
      </c>
      <c r="W21" s="15">
        <v>0</v>
      </c>
      <c r="X21" s="13">
        <v>0</v>
      </c>
      <c r="Y21" s="14">
        <v>0</v>
      </c>
      <c r="Z21" s="14">
        <v>0</v>
      </c>
      <c r="AA21" s="14">
        <v>0</v>
      </c>
      <c r="AB21" s="14">
        <v>0</v>
      </c>
      <c r="AC21" s="15">
        <v>0</v>
      </c>
      <c r="AD21" s="13">
        <v>0</v>
      </c>
      <c r="AE21" s="14">
        <v>0</v>
      </c>
      <c r="AF21" s="14">
        <v>0</v>
      </c>
      <c r="AG21" s="14">
        <v>0</v>
      </c>
      <c r="AH21" s="14">
        <v>0</v>
      </c>
      <c r="AI21" s="14">
        <v>0</v>
      </c>
      <c r="AJ21" s="14">
        <v>0</v>
      </c>
      <c r="AK21" s="14">
        <v>0</v>
      </c>
      <c r="AL21" s="14">
        <v>0</v>
      </c>
      <c r="AM21" s="14">
        <v>0</v>
      </c>
      <c r="AN21" s="14">
        <v>0</v>
      </c>
      <c r="AO21" s="15">
        <v>0</v>
      </c>
      <c r="AP21" s="13">
        <v>0</v>
      </c>
      <c r="AQ21" s="14">
        <v>0</v>
      </c>
      <c r="AR21" s="14">
        <v>0</v>
      </c>
      <c r="AS21" s="15">
        <v>0</v>
      </c>
      <c r="AU21">
        <f t="shared" si="3"/>
        <v>4</v>
      </c>
      <c r="AW21" s="12">
        <f t="shared" ca="1" si="4"/>
        <v>1.6796159999999997E-2</v>
      </c>
      <c r="AY21" s="11">
        <f t="shared" ca="1" si="5"/>
        <v>0</v>
      </c>
      <c r="AZ21" s="11">
        <f t="shared" ca="1" si="38"/>
        <v>0</v>
      </c>
      <c r="BA21" s="11">
        <f t="shared" ca="1" si="39"/>
        <v>0</v>
      </c>
      <c r="BB21" s="11">
        <f t="shared" ca="1" si="40"/>
        <v>0</v>
      </c>
      <c r="BC21" s="11">
        <f t="shared" ca="1" si="41"/>
        <v>0</v>
      </c>
      <c r="BD21" s="11">
        <f t="shared" ca="1" si="42"/>
        <v>0</v>
      </c>
      <c r="BE21" s="11">
        <f t="shared" ca="1" si="43"/>
        <v>0</v>
      </c>
      <c r="BF21" s="11">
        <f t="shared" ca="1" si="44"/>
        <v>0</v>
      </c>
      <c r="BG21" s="11">
        <f t="shared" ca="1" si="45"/>
        <v>0</v>
      </c>
      <c r="BH21" s="11">
        <f t="shared" ca="1" si="46"/>
        <v>0</v>
      </c>
      <c r="BI21" s="11">
        <f t="shared" ca="1" si="6"/>
        <v>0</v>
      </c>
      <c r="BJ21" s="11">
        <f t="shared" ca="1" si="7"/>
        <v>0</v>
      </c>
      <c r="BK21" s="11">
        <f t="shared" ca="1" si="8"/>
        <v>0</v>
      </c>
      <c r="BL21" s="11">
        <f t="shared" ca="1" si="9"/>
        <v>1.0077695999999999E-2</v>
      </c>
      <c r="BM21" s="11">
        <f t="shared" ca="1" si="10"/>
        <v>0</v>
      </c>
      <c r="BN21" s="11">
        <f t="shared" ca="1" si="11"/>
        <v>1.6796159999999997E-2</v>
      </c>
      <c r="BO21" s="11">
        <f t="shared" ca="1" si="12"/>
        <v>0</v>
      </c>
      <c r="BP21" s="11">
        <f t="shared" ca="1" si="13"/>
        <v>1.6796159999999997E-2</v>
      </c>
      <c r="BQ21" s="11">
        <f t="shared" ca="1" si="14"/>
        <v>1.6796159999999997E-2</v>
      </c>
      <c r="BR21" s="11">
        <f t="shared" ca="1" si="15"/>
        <v>0</v>
      </c>
      <c r="BS21" s="11">
        <f t="shared" ca="1" si="16"/>
        <v>0</v>
      </c>
      <c r="BT21" s="11">
        <f t="shared" ca="1" si="17"/>
        <v>0</v>
      </c>
      <c r="BU21" s="11">
        <f t="shared" ca="1" si="18"/>
        <v>0</v>
      </c>
      <c r="BV21" s="11">
        <f t="shared" ca="1" si="19"/>
        <v>0</v>
      </c>
      <c r="BW21" s="11">
        <f t="shared" ca="1" si="20"/>
        <v>0</v>
      </c>
      <c r="BX21" s="11">
        <f t="shared" ca="1" si="21"/>
        <v>0</v>
      </c>
      <c r="BY21" s="11">
        <f t="shared" ca="1" si="22"/>
        <v>0</v>
      </c>
      <c r="BZ21" s="11">
        <f t="shared" ca="1" si="23"/>
        <v>0</v>
      </c>
      <c r="CA21" s="11">
        <f t="shared" ca="1" si="24"/>
        <v>0</v>
      </c>
      <c r="CB21" s="11">
        <f t="shared" ca="1" si="25"/>
        <v>0</v>
      </c>
      <c r="CC21" s="11">
        <f t="shared" ca="1" si="26"/>
        <v>0</v>
      </c>
      <c r="CD21" s="11">
        <f t="shared" ca="1" si="27"/>
        <v>0</v>
      </c>
      <c r="CE21" s="11">
        <f t="shared" ca="1" si="28"/>
        <v>0</v>
      </c>
      <c r="CF21" s="11">
        <f t="shared" ca="1" si="29"/>
        <v>0</v>
      </c>
      <c r="CG21" s="11">
        <f t="shared" ca="1" si="30"/>
        <v>0</v>
      </c>
      <c r="CH21" s="11">
        <f t="shared" ca="1" si="31"/>
        <v>0</v>
      </c>
      <c r="CI21" s="11">
        <f t="shared" ca="1" si="32"/>
        <v>0</v>
      </c>
      <c r="CJ21" s="11">
        <f t="shared" ca="1" si="33"/>
        <v>0</v>
      </c>
      <c r="CK21" s="11">
        <f t="shared" ca="1" si="34"/>
        <v>0</v>
      </c>
      <c r="CL21" s="11">
        <f t="shared" ca="1" si="35"/>
        <v>0</v>
      </c>
      <c r="CM21" s="11">
        <f t="shared" ca="1" si="36"/>
        <v>0</v>
      </c>
      <c r="CN21" s="11">
        <f t="shared" ca="1" si="37"/>
        <v>0</v>
      </c>
    </row>
    <row r="22" spans="1:92" x14ac:dyDescent="0.3">
      <c r="A22" s="20">
        <v>9.4848255999999989</v>
      </c>
      <c r="B22">
        <v>16</v>
      </c>
      <c r="C22" t="s">
        <v>2</v>
      </c>
      <c r="D22" s="13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5">
        <v>0</v>
      </c>
      <c r="M22" s="13">
        <v>0</v>
      </c>
      <c r="N22" s="14">
        <v>0</v>
      </c>
      <c r="O22" s="14">
        <v>0</v>
      </c>
      <c r="P22" s="15">
        <v>0</v>
      </c>
      <c r="Q22" s="13">
        <v>1</v>
      </c>
      <c r="R22" s="14">
        <v>1</v>
      </c>
      <c r="S22" s="14">
        <v>0</v>
      </c>
      <c r="T22" s="14">
        <v>1</v>
      </c>
      <c r="U22" s="14">
        <v>0</v>
      </c>
      <c r="V22" s="14">
        <v>0</v>
      </c>
      <c r="W22" s="15">
        <v>0</v>
      </c>
      <c r="X22" s="13">
        <v>0</v>
      </c>
      <c r="Y22" s="14">
        <v>0</v>
      </c>
      <c r="Z22" s="14">
        <v>0</v>
      </c>
      <c r="AA22" s="14">
        <v>0</v>
      </c>
      <c r="AB22" s="14">
        <v>0</v>
      </c>
      <c r="AC22" s="15">
        <v>0</v>
      </c>
      <c r="AD22" s="13">
        <v>0</v>
      </c>
      <c r="AE22" s="14">
        <v>0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v>0</v>
      </c>
      <c r="AM22" s="14">
        <v>0</v>
      </c>
      <c r="AN22" s="14">
        <v>0</v>
      </c>
      <c r="AO22" s="15">
        <v>0</v>
      </c>
      <c r="AP22" s="13">
        <v>0</v>
      </c>
      <c r="AQ22" s="14">
        <v>0</v>
      </c>
      <c r="AR22" s="14">
        <v>0</v>
      </c>
      <c r="AS22" s="15">
        <v>0</v>
      </c>
      <c r="AU22">
        <f t="shared" si="3"/>
        <v>3</v>
      </c>
      <c r="AW22" s="12">
        <f t="shared" ca="1" si="4"/>
        <v>2.7993599999999997E-2</v>
      </c>
      <c r="AY22" s="11">
        <f t="shared" ca="1" si="5"/>
        <v>0</v>
      </c>
      <c r="AZ22" s="11">
        <f t="shared" ca="1" si="38"/>
        <v>0</v>
      </c>
      <c r="BA22" s="11">
        <f t="shared" ca="1" si="39"/>
        <v>0</v>
      </c>
      <c r="BB22" s="11">
        <f t="shared" ca="1" si="40"/>
        <v>0</v>
      </c>
      <c r="BC22" s="11">
        <f t="shared" ca="1" si="41"/>
        <v>0</v>
      </c>
      <c r="BD22" s="11">
        <f t="shared" ca="1" si="42"/>
        <v>0</v>
      </c>
      <c r="BE22" s="11">
        <f t="shared" ca="1" si="43"/>
        <v>0</v>
      </c>
      <c r="BF22" s="11">
        <f t="shared" ca="1" si="44"/>
        <v>0</v>
      </c>
      <c r="BG22" s="11">
        <f t="shared" ca="1" si="45"/>
        <v>0</v>
      </c>
      <c r="BH22" s="11">
        <f t="shared" ca="1" si="46"/>
        <v>0</v>
      </c>
      <c r="BI22" s="11">
        <f t="shared" ca="1" si="6"/>
        <v>0</v>
      </c>
      <c r="BJ22" s="11">
        <f t="shared" ca="1" si="7"/>
        <v>0</v>
      </c>
      <c r="BK22" s="11">
        <f t="shared" ca="1" si="8"/>
        <v>0</v>
      </c>
      <c r="BL22" s="11">
        <f t="shared" ca="1" si="9"/>
        <v>1.0077695999999999E-2</v>
      </c>
      <c r="BM22" s="11">
        <f t="shared" ca="1" si="10"/>
        <v>1.0077695999999999E-2</v>
      </c>
      <c r="BN22" s="11">
        <f t="shared" ca="1" si="11"/>
        <v>0</v>
      </c>
      <c r="BO22" s="11">
        <f t="shared" ca="1" si="12"/>
        <v>2.7993599999999997E-2</v>
      </c>
      <c r="BP22" s="11">
        <f t="shared" ca="1" si="13"/>
        <v>0</v>
      </c>
      <c r="BQ22" s="11">
        <f t="shared" ca="1" si="14"/>
        <v>0</v>
      </c>
      <c r="BR22" s="11">
        <f t="shared" ca="1" si="15"/>
        <v>0</v>
      </c>
      <c r="BS22" s="11">
        <f t="shared" ca="1" si="16"/>
        <v>0</v>
      </c>
      <c r="BT22" s="11">
        <f t="shared" ca="1" si="17"/>
        <v>0</v>
      </c>
      <c r="BU22" s="11">
        <f t="shared" ca="1" si="18"/>
        <v>0</v>
      </c>
      <c r="BV22" s="11">
        <f t="shared" ca="1" si="19"/>
        <v>0</v>
      </c>
      <c r="BW22" s="11">
        <f t="shared" ca="1" si="20"/>
        <v>0</v>
      </c>
      <c r="BX22" s="11">
        <f t="shared" ca="1" si="21"/>
        <v>0</v>
      </c>
      <c r="BY22" s="11">
        <f t="shared" ca="1" si="22"/>
        <v>0</v>
      </c>
      <c r="BZ22" s="11">
        <f t="shared" ca="1" si="23"/>
        <v>0</v>
      </c>
      <c r="CA22" s="11">
        <f t="shared" ca="1" si="24"/>
        <v>0</v>
      </c>
      <c r="CB22" s="11">
        <f t="shared" ca="1" si="25"/>
        <v>0</v>
      </c>
      <c r="CC22" s="11">
        <f t="shared" ca="1" si="26"/>
        <v>0</v>
      </c>
      <c r="CD22" s="11">
        <f t="shared" ca="1" si="27"/>
        <v>0</v>
      </c>
      <c r="CE22" s="11">
        <f t="shared" ca="1" si="28"/>
        <v>0</v>
      </c>
      <c r="CF22" s="11">
        <f t="shared" ca="1" si="29"/>
        <v>0</v>
      </c>
      <c r="CG22" s="11">
        <f t="shared" ca="1" si="30"/>
        <v>0</v>
      </c>
      <c r="CH22" s="11">
        <f t="shared" ca="1" si="31"/>
        <v>0</v>
      </c>
      <c r="CI22" s="11">
        <f t="shared" ca="1" si="32"/>
        <v>0</v>
      </c>
      <c r="CJ22" s="11">
        <f t="shared" ca="1" si="33"/>
        <v>0</v>
      </c>
      <c r="CK22" s="11">
        <f t="shared" ca="1" si="34"/>
        <v>0</v>
      </c>
      <c r="CL22" s="11">
        <f t="shared" ca="1" si="35"/>
        <v>0</v>
      </c>
      <c r="CM22" s="11">
        <f t="shared" ca="1" si="36"/>
        <v>0</v>
      </c>
      <c r="CN22" s="11">
        <f t="shared" ca="1" si="37"/>
        <v>0</v>
      </c>
    </row>
    <row r="23" spans="1:92" x14ac:dyDescent="0.3">
      <c r="A23" s="20">
        <v>11.541375999999994</v>
      </c>
      <c r="B23">
        <v>17</v>
      </c>
      <c r="C23" t="s">
        <v>2</v>
      </c>
      <c r="D23" s="13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5">
        <v>0</v>
      </c>
      <c r="M23" s="13">
        <v>0</v>
      </c>
      <c r="N23" s="14">
        <v>0</v>
      </c>
      <c r="O23" s="14">
        <v>0</v>
      </c>
      <c r="P23" s="15">
        <v>0</v>
      </c>
      <c r="Q23" s="13">
        <v>0</v>
      </c>
      <c r="R23" s="14">
        <v>0</v>
      </c>
      <c r="S23" s="14">
        <v>1</v>
      </c>
      <c r="T23" s="14">
        <v>0</v>
      </c>
      <c r="U23" s="14">
        <v>0</v>
      </c>
      <c r="V23" s="14">
        <v>1</v>
      </c>
      <c r="W23" s="15">
        <v>1</v>
      </c>
      <c r="X23" s="13">
        <v>0</v>
      </c>
      <c r="Y23" s="14">
        <v>0</v>
      </c>
      <c r="Z23" s="14">
        <v>0</v>
      </c>
      <c r="AA23" s="14">
        <v>0</v>
      </c>
      <c r="AB23" s="14">
        <v>0</v>
      </c>
      <c r="AC23" s="15">
        <v>0</v>
      </c>
      <c r="AD23" s="13">
        <v>1</v>
      </c>
      <c r="AE23" s="14">
        <v>0</v>
      </c>
      <c r="AF23" s="14">
        <v>0</v>
      </c>
      <c r="AG23" s="14">
        <v>0</v>
      </c>
      <c r="AH23" s="14">
        <v>0</v>
      </c>
      <c r="AI23" s="14">
        <v>1</v>
      </c>
      <c r="AJ23" s="14">
        <v>0</v>
      </c>
      <c r="AK23" s="14">
        <v>0</v>
      </c>
      <c r="AL23" s="14">
        <v>0</v>
      </c>
      <c r="AM23" s="14">
        <v>1</v>
      </c>
      <c r="AN23" s="14">
        <v>0</v>
      </c>
      <c r="AO23" s="15">
        <v>0</v>
      </c>
      <c r="AP23" s="13">
        <v>0</v>
      </c>
      <c r="AQ23" s="14">
        <v>0</v>
      </c>
      <c r="AR23" s="14">
        <v>0</v>
      </c>
      <c r="AS23" s="15">
        <v>0</v>
      </c>
      <c r="AU23">
        <f t="shared" si="3"/>
        <v>6</v>
      </c>
      <c r="AW23" s="12">
        <f t="shared" ca="1" si="4"/>
        <v>4.6655999999999996E-2</v>
      </c>
      <c r="AY23" s="11">
        <f t="shared" ca="1" si="5"/>
        <v>0</v>
      </c>
      <c r="AZ23" s="11">
        <f t="shared" ca="1" si="38"/>
        <v>0</v>
      </c>
      <c r="BA23" s="11">
        <f t="shared" ca="1" si="39"/>
        <v>0</v>
      </c>
      <c r="BB23" s="11">
        <f t="shared" ca="1" si="40"/>
        <v>0</v>
      </c>
      <c r="BC23" s="11">
        <f t="shared" ca="1" si="41"/>
        <v>0</v>
      </c>
      <c r="BD23" s="11">
        <f t="shared" ca="1" si="42"/>
        <v>0</v>
      </c>
      <c r="BE23" s="11">
        <f t="shared" ca="1" si="43"/>
        <v>0</v>
      </c>
      <c r="BF23" s="11">
        <f t="shared" ca="1" si="44"/>
        <v>0</v>
      </c>
      <c r="BG23" s="11">
        <f t="shared" ca="1" si="45"/>
        <v>0</v>
      </c>
      <c r="BH23" s="11">
        <f t="shared" ca="1" si="46"/>
        <v>0</v>
      </c>
      <c r="BI23" s="11">
        <f t="shared" ca="1" si="6"/>
        <v>0</v>
      </c>
      <c r="BJ23" s="11">
        <f t="shared" ca="1" si="7"/>
        <v>0</v>
      </c>
      <c r="BK23" s="11">
        <f t="shared" ca="1" si="8"/>
        <v>0</v>
      </c>
      <c r="BL23" s="11">
        <f t="shared" ca="1" si="9"/>
        <v>0</v>
      </c>
      <c r="BM23" s="11">
        <f t="shared" ca="1" si="10"/>
        <v>0</v>
      </c>
      <c r="BN23" s="11">
        <f t="shared" ca="1" si="11"/>
        <v>1.6796159999999997E-2</v>
      </c>
      <c r="BO23" s="11">
        <f t="shared" ca="1" si="12"/>
        <v>0</v>
      </c>
      <c r="BP23" s="11">
        <f t="shared" ca="1" si="13"/>
        <v>0</v>
      </c>
      <c r="BQ23" s="11">
        <f t="shared" ca="1" si="14"/>
        <v>1.6796159999999997E-2</v>
      </c>
      <c r="BR23" s="11">
        <f t="shared" ca="1" si="15"/>
        <v>2.7993599999999997E-2</v>
      </c>
      <c r="BS23" s="11">
        <f t="shared" ca="1" si="16"/>
        <v>0</v>
      </c>
      <c r="BT23" s="11">
        <f t="shared" ca="1" si="17"/>
        <v>0</v>
      </c>
      <c r="BU23" s="11">
        <f t="shared" ca="1" si="18"/>
        <v>0</v>
      </c>
      <c r="BV23" s="11">
        <f t="shared" ca="1" si="19"/>
        <v>0</v>
      </c>
      <c r="BW23" s="11">
        <f t="shared" ca="1" si="20"/>
        <v>0</v>
      </c>
      <c r="BX23" s="11">
        <f t="shared" ca="1" si="21"/>
        <v>0</v>
      </c>
      <c r="BY23" s="11">
        <f t="shared" ca="1" si="22"/>
        <v>4.6655999999999996E-2</v>
      </c>
      <c r="BZ23" s="11">
        <f t="shared" ca="1" si="23"/>
        <v>0</v>
      </c>
      <c r="CA23" s="11">
        <f t="shared" ca="1" si="24"/>
        <v>0</v>
      </c>
      <c r="CB23" s="11">
        <f t="shared" ca="1" si="25"/>
        <v>0</v>
      </c>
      <c r="CC23" s="11">
        <f t="shared" ca="1" si="26"/>
        <v>0</v>
      </c>
      <c r="CD23" s="11">
        <f t="shared" ca="1" si="27"/>
        <v>4.6655999999999996E-2</v>
      </c>
      <c r="CE23" s="11">
        <f t="shared" ca="1" si="28"/>
        <v>0</v>
      </c>
      <c r="CF23" s="11">
        <f t="shared" ca="1" si="29"/>
        <v>0</v>
      </c>
      <c r="CG23" s="11">
        <f t="shared" ca="1" si="30"/>
        <v>0</v>
      </c>
      <c r="CH23" s="11">
        <f t="shared" ca="1" si="31"/>
        <v>4.6655999999999996E-2</v>
      </c>
      <c r="CI23" s="11">
        <f t="shared" ca="1" si="32"/>
        <v>0</v>
      </c>
      <c r="CJ23" s="11">
        <f t="shared" ca="1" si="33"/>
        <v>0</v>
      </c>
      <c r="CK23" s="11">
        <f t="shared" ca="1" si="34"/>
        <v>0</v>
      </c>
      <c r="CL23" s="11">
        <f t="shared" ca="1" si="35"/>
        <v>0</v>
      </c>
      <c r="CM23" s="11">
        <f t="shared" ca="1" si="36"/>
        <v>0</v>
      </c>
      <c r="CN23" s="11">
        <f t="shared" ca="1" si="37"/>
        <v>0</v>
      </c>
    </row>
    <row r="24" spans="1:92" x14ac:dyDescent="0.3">
      <c r="A24" s="20">
        <v>9.967897599999997</v>
      </c>
      <c r="B24">
        <v>18</v>
      </c>
      <c r="C24" t="s">
        <v>2</v>
      </c>
      <c r="D24" s="13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5">
        <v>0</v>
      </c>
      <c r="M24" s="13">
        <v>0</v>
      </c>
      <c r="N24" s="14">
        <v>0</v>
      </c>
      <c r="O24" s="14">
        <v>0</v>
      </c>
      <c r="P24" s="15">
        <v>0</v>
      </c>
      <c r="Q24" s="13">
        <v>0</v>
      </c>
      <c r="R24" s="14">
        <v>1</v>
      </c>
      <c r="S24" s="14">
        <v>0</v>
      </c>
      <c r="T24" s="14">
        <v>0</v>
      </c>
      <c r="U24" s="14">
        <v>0</v>
      </c>
      <c r="V24" s="14">
        <v>1</v>
      </c>
      <c r="W24" s="15">
        <v>1</v>
      </c>
      <c r="X24" s="13">
        <v>1</v>
      </c>
      <c r="Y24" s="14">
        <v>0</v>
      </c>
      <c r="Z24" s="14">
        <v>0</v>
      </c>
      <c r="AA24" s="14">
        <v>0</v>
      </c>
      <c r="AB24" s="14">
        <v>0</v>
      </c>
      <c r="AC24" s="15">
        <v>0</v>
      </c>
      <c r="AD24" s="13">
        <v>0</v>
      </c>
      <c r="AE24" s="14">
        <v>0</v>
      </c>
      <c r="AF24" s="14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0</v>
      </c>
      <c r="AO24" s="15">
        <v>0</v>
      </c>
      <c r="AP24" s="13">
        <v>0</v>
      </c>
      <c r="AQ24" s="14">
        <v>0</v>
      </c>
      <c r="AR24" s="14">
        <v>0</v>
      </c>
      <c r="AS24" s="15">
        <v>0</v>
      </c>
      <c r="AU24">
        <f t="shared" si="3"/>
        <v>4</v>
      </c>
      <c r="AW24" s="12">
        <f t="shared" ca="1" si="4"/>
        <v>2.7993599999999997E-2</v>
      </c>
      <c r="AY24" s="11">
        <f t="shared" ca="1" si="5"/>
        <v>0</v>
      </c>
      <c r="AZ24" s="11">
        <f t="shared" ca="1" si="38"/>
        <v>0</v>
      </c>
      <c r="BA24" s="11">
        <f t="shared" ca="1" si="39"/>
        <v>0</v>
      </c>
      <c r="BB24" s="11">
        <f t="shared" ca="1" si="40"/>
        <v>0</v>
      </c>
      <c r="BC24" s="11">
        <f t="shared" ca="1" si="41"/>
        <v>0</v>
      </c>
      <c r="BD24" s="11">
        <f t="shared" ca="1" si="42"/>
        <v>0</v>
      </c>
      <c r="BE24" s="11">
        <f t="shared" ca="1" si="43"/>
        <v>0</v>
      </c>
      <c r="BF24" s="11">
        <f t="shared" ca="1" si="44"/>
        <v>0</v>
      </c>
      <c r="BG24" s="11">
        <f t="shared" ca="1" si="45"/>
        <v>0</v>
      </c>
      <c r="BH24" s="11">
        <f t="shared" ca="1" si="46"/>
        <v>0</v>
      </c>
      <c r="BI24" s="11">
        <f t="shared" ca="1" si="6"/>
        <v>0</v>
      </c>
      <c r="BJ24" s="11">
        <f t="shared" ca="1" si="7"/>
        <v>0</v>
      </c>
      <c r="BK24" s="11">
        <f t="shared" ca="1" si="8"/>
        <v>0</v>
      </c>
      <c r="BL24" s="11">
        <f t="shared" ca="1" si="9"/>
        <v>0</v>
      </c>
      <c r="BM24" s="11">
        <f t="shared" ca="1" si="10"/>
        <v>1.0077695999999999E-2</v>
      </c>
      <c r="BN24" s="11">
        <f t="shared" ca="1" si="11"/>
        <v>0</v>
      </c>
      <c r="BO24" s="11">
        <f t="shared" ca="1" si="12"/>
        <v>0</v>
      </c>
      <c r="BP24" s="11">
        <f t="shared" ca="1" si="13"/>
        <v>0</v>
      </c>
      <c r="BQ24" s="11">
        <f t="shared" ca="1" si="14"/>
        <v>1.6796159999999997E-2</v>
      </c>
      <c r="BR24" s="11">
        <f t="shared" ca="1" si="15"/>
        <v>2.7993599999999997E-2</v>
      </c>
      <c r="BS24" s="11">
        <f t="shared" ca="1" si="16"/>
        <v>1.6796159999999997E-2</v>
      </c>
      <c r="BT24" s="11">
        <f t="shared" ca="1" si="17"/>
        <v>0</v>
      </c>
      <c r="BU24" s="11">
        <f t="shared" ca="1" si="18"/>
        <v>0</v>
      </c>
      <c r="BV24" s="11">
        <f t="shared" ca="1" si="19"/>
        <v>0</v>
      </c>
      <c r="BW24" s="11">
        <f t="shared" ca="1" si="20"/>
        <v>0</v>
      </c>
      <c r="BX24" s="11">
        <f t="shared" ca="1" si="21"/>
        <v>0</v>
      </c>
      <c r="BY24" s="11">
        <f t="shared" ca="1" si="22"/>
        <v>0</v>
      </c>
      <c r="BZ24" s="11">
        <f t="shared" ca="1" si="23"/>
        <v>0</v>
      </c>
      <c r="CA24" s="11">
        <f t="shared" ca="1" si="24"/>
        <v>0</v>
      </c>
      <c r="CB24" s="11">
        <f t="shared" ca="1" si="25"/>
        <v>0</v>
      </c>
      <c r="CC24" s="11">
        <f t="shared" ca="1" si="26"/>
        <v>0</v>
      </c>
      <c r="CD24" s="11">
        <f t="shared" ca="1" si="27"/>
        <v>0</v>
      </c>
      <c r="CE24" s="11">
        <f t="shared" ca="1" si="28"/>
        <v>0</v>
      </c>
      <c r="CF24" s="11">
        <f t="shared" ca="1" si="29"/>
        <v>0</v>
      </c>
      <c r="CG24" s="11">
        <f t="shared" ca="1" si="30"/>
        <v>0</v>
      </c>
      <c r="CH24" s="11">
        <f t="shared" ca="1" si="31"/>
        <v>0</v>
      </c>
      <c r="CI24" s="11">
        <f t="shared" ca="1" si="32"/>
        <v>0</v>
      </c>
      <c r="CJ24" s="11">
        <f t="shared" ca="1" si="33"/>
        <v>0</v>
      </c>
      <c r="CK24" s="11">
        <f t="shared" ca="1" si="34"/>
        <v>0</v>
      </c>
      <c r="CL24" s="11">
        <f t="shared" ca="1" si="35"/>
        <v>0</v>
      </c>
      <c r="CM24" s="11">
        <f t="shared" ca="1" si="36"/>
        <v>0</v>
      </c>
      <c r="CN24" s="11">
        <f t="shared" ca="1" si="37"/>
        <v>0</v>
      </c>
    </row>
    <row r="25" spans="1:92" x14ac:dyDescent="0.3">
      <c r="A25" s="20">
        <v>9.7305855999999977</v>
      </c>
      <c r="B25">
        <v>19</v>
      </c>
      <c r="C25" t="s">
        <v>2</v>
      </c>
      <c r="D25" s="13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5">
        <v>0</v>
      </c>
      <c r="M25" s="13">
        <v>0</v>
      </c>
      <c r="N25" s="14">
        <v>0</v>
      </c>
      <c r="O25" s="14">
        <v>0</v>
      </c>
      <c r="P25" s="15">
        <v>0</v>
      </c>
      <c r="Q25" s="13">
        <v>0</v>
      </c>
      <c r="R25" s="14">
        <v>1</v>
      </c>
      <c r="S25" s="14">
        <v>0</v>
      </c>
      <c r="T25" s="14">
        <v>1</v>
      </c>
      <c r="U25" s="14">
        <v>1</v>
      </c>
      <c r="V25" s="14">
        <v>0</v>
      </c>
      <c r="W25" s="15">
        <v>1</v>
      </c>
      <c r="X25" s="13">
        <v>0</v>
      </c>
      <c r="Y25" s="14">
        <v>0</v>
      </c>
      <c r="Z25" s="14">
        <v>0</v>
      </c>
      <c r="AA25" s="14">
        <v>0</v>
      </c>
      <c r="AB25" s="14">
        <v>0</v>
      </c>
      <c r="AC25" s="15">
        <v>0</v>
      </c>
      <c r="AD25" s="13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5">
        <v>0</v>
      </c>
      <c r="AP25" s="13">
        <v>0</v>
      </c>
      <c r="AQ25" s="14">
        <v>0</v>
      </c>
      <c r="AR25" s="14">
        <v>0</v>
      </c>
      <c r="AS25" s="15">
        <v>0</v>
      </c>
      <c r="AU25">
        <f t="shared" si="3"/>
        <v>4</v>
      </c>
      <c r="AW25" s="12">
        <f t="shared" ca="1" si="4"/>
        <v>2.7993599999999997E-2</v>
      </c>
      <c r="AY25" s="11">
        <f t="shared" ca="1" si="5"/>
        <v>0</v>
      </c>
      <c r="AZ25" s="11">
        <f t="shared" ca="1" si="38"/>
        <v>0</v>
      </c>
      <c r="BA25" s="11">
        <f t="shared" ca="1" si="39"/>
        <v>0</v>
      </c>
      <c r="BB25" s="11">
        <f t="shared" ca="1" si="40"/>
        <v>0</v>
      </c>
      <c r="BC25" s="11">
        <f t="shared" ca="1" si="41"/>
        <v>0</v>
      </c>
      <c r="BD25" s="11">
        <f t="shared" ca="1" si="42"/>
        <v>0</v>
      </c>
      <c r="BE25" s="11">
        <f t="shared" ca="1" si="43"/>
        <v>0</v>
      </c>
      <c r="BF25" s="11">
        <f t="shared" ca="1" si="44"/>
        <v>0</v>
      </c>
      <c r="BG25" s="11">
        <f t="shared" ca="1" si="45"/>
        <v>0</v>
      </c>
      <c r="BH25" s="11">
        <f t="shared" ca="1" si="46"/>
        <v>0</v>
      </c>
      <c r="BI25" s="11">
        <f t="shared" ca="1" si="6"/>
        <v>0</v>
      </c>
      <c r="BJ25" s="11">
        <f t="shared" ca="1" si="7"/>
        <v>0</v>
      </c>
      <c r="BK25" s="11">
        <f t="shared" ca="1" si="8"/>
        <v>0</v>
      </c>
      <c r="BL25" s="11">
        <f t="shared" ca="1" si="9"/>
        <v>0</v>
      </c>
      <c r="BM25" s="11">
        <f t="shared" ca="1" si="10"/>
        <v>1.0077695999999999E-2</v>
      </c>
      <c r="BN25" s="11">
        <f t="shared" ca="1" si="11"/>
        <v>0</v>
      </c>
      <c r="BO25" s="11">
        <f t="shared" ca="1" si="12"/>
        <v>2.7993599999999997E-2</v>
      </c>
      <c r="BP25" s="11">
        <f t="shared" ca="1" si="13"/>
        <v>1.6796159999999997E-2</v>
      </c>
      <c r="BQ25" s="11">
        <f t="shared" ca="1" si="14"/>
        <v>0</v>
      </c>
      <c r="BR25" s="11">
        <f t="shared" ca="1" si="15"/>
        <v>2.7993599999999997E-2</v>
      </c>
      <c r="BS25" s="11">
        <f t="shared" ca="1" si="16"/>
        <v>0</v>
      </c>
      <c r="BT25" s="11">
        <f t="shared" ca="1" si="17"/>
        <v>0</v>
      </c>
      <c r="BU25" s="11">
        <f t="shared" ca="1" si="18"/>
        <v>0</v>
      </c>
      <c r="BV25" s="11">
        <f t="shared" ca="1" si="19"/>
        <v>0</v>
      </c>
      <c r="BW25" s="11">
        <f t="shared" ca="1" si="20"/>
        <v>0</v>
      </c>
      <c r="BX25" s="11">
        <f t="shared" ca="1" si="21"/>
        <v>0</v>
      </c>
      <c r="BY25" s="11">
        <f t="shared" ca="1" si="22"/>
        <v>0</v>
      </c>
      <c r="BZ25" s="11">
        <f t="shared" ca="1" si="23"/>
        <v>0</v>
      </c>
      <c r="CA25" s="11">
        <f t="shared" ca="1" si="24"/>
        <v>0</v>
      </c>
      <c r="CB25" s="11">
        <f t="shared" ca="1" si="25"/>
        <v>0</v>
      </c>
      <c r="CC25" s="11">
        <f t="shared" ca="1" si="26"/>
        <v>0</v>
      </c>
      <c r="CD25" s="11">
        <f t="shared" ca="1" si="27"/>
        <v>0</v>
      </c>
      <c r="CE25" s="11">
        <f t="shared" ca="1" si="28"/>
        <v>0</v>
      </c>
      <c r="CF25" s="11">
        <f t="shared" ca="1" si="29"/>
        <v>0</v>
      </c>
      <c r="CG25" s="11">
        <f t="shared" ca="1" si="30"/>
        <v>0</v>
      </c>
      <c r="CH25" s="11">
        <f t="shared" ca="1" si="31"/>
        <v>0</v>
      </c>
      <c r="CI25" s="11">
        <f t="shared" ca="1" si="32"/>
        <v>0</v>
      </c>
      <c r="CJ25" s="11">
        <f t="shared" ca="1" si="33"/>
        <v>0</v>
      </c>
      <c r="CK25" s="11">
        <f t="shared" ca="1" si="34"/>
        <v>0</v>
      </c>
      <c r="CL25" s="11">
        <f t="shared" ca="1" si="35"/>
        <v>0</v>
      </c>
      <c r="CM25" s="11">
        <f t="shared" ca="1" si="36"/>
        <v>0</v>
      </c>
      <c r="CN25" s="11">
        <f t="shared" ca="1" si="37"/>
        <v>0</v>
      </c>
    </row>
    <row r="26" spans="1:92" x14ac:dyDescent="0.3">
      <c r="A26" s="20">
        <v>11.041407999999995</v>
      </c>
      <c r="B26">
        <v>20</v>
      </c>
      <c r="C26" t="s">
        <v>2</v>
      </c>
      <c r="D26" s="13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5">
        <v>0</v>
      </c>
      <c r="M26" s="13">
        <v>0</v>
      </c>
      <c r="N26" s="14">
        <v>0</v>
      </c>
      <c r="O26" s="14">
        <v>0</v>
      </c>
      <c r="P26" s="15">
        <v>0</v>
      </c>
      <c r="Q26" s="13">
        <v>0</v>
      </c>
      <c r="R26" s="14">
        <v>0</v>
      </c>
      <c r="S26" s="14">
        <v>0</v>
      </c>
      <c r="T26" s="14">
        <v>1</v>
      </c>
      <c r="U26" s="14">
        <v>1</v>
      </c>
      <c r="V26" s="14">
        <v>1</v>
      </c>
      <c r="W26" s="15">
        <v>0</v>
      </c>
      <c r="X26" s="13">
        <v>1</v>
      </c>
      <c r="Y26" s="14">
        <v>1</v>
      </c>
      <c r="Z26" s="14">
        <v>0</v>
      </c>
      <c r="AA26" s="14">
        <v>0</v>
      </c>
      <c r="AB26" s="14">
        <v>0</v>
      </c>
      <c r="AC26" s="15">
        <v>0</v>
      </c>
      <c r="AD26" s="13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1</v>
      </c>
      <c r="AN26" s="14">
        <v>0</v>
      </c>
      <c r="AO26" s="15">
        <v>0</v>
      </c>
      <c r="AP26" s="13">
        <v>0</v>
      </c>
      <c r="AQ26" s="14">
        <v>0</v>
      </c>
      <c r="AR26" s="14">
        <v>0</v>
      </c>
      <c r="AS26" s="15">
        <v>0</v>
      </c>
      <c r="AU26">
        <f t="shared" si="3"/>
        <v>6</v>
      </c>
      <c r="AW26" s="12">
        <f t="shared" ca="1" si="4"/>
        <v>4.6655999999999996E-2</v>
      </c>
      <c r="AY26" s="11">
        <f t="shared" ca="1" si="5"/>
        <v>0</v>
      </c>
      <c r="AZ26" s="11">
        <f t="shared" ca="1" si="38"/>
        <v>0</v>
      </c>
      <c r="BA26" s="11">
        <f t="shared" ca="1" si="39"/>
        <v>0</v>
      </c>
      <c r="BB26" s="11">
        <f t="shared" ca="1" si="40"/>
        <v>0</v>
      </c>
      <c r="BC26" s="11">
        <f t="shared" ca="1" si="41"/>
        <v>0</v>
      </c>
      <c r="BD26" s="11">
        <f t="shared" ca="1" si="42"/>
        <v>0</v>
      </c>
      <c r="BE26" s="11">
        <f t="shared" ca="1" si="43"/>
        <v>0</v>
      </c>
      <c r="BF26" s="11">
        <f t="shared" ca="1" si="44"/>
        <v>0</v>
      </c>
      <c r="BG26" s="11">
        <f t="shared" ca="1" si="45"/>
        <v>0</v>
      </c>
      <c r="BH26" s="11">
        <f t="shared" ca="1" si="46"/>
        <v>0</v>
      </c>
      <c r="BI26" s="11">
        <f t="shared" ca="1" si="6"/>
        <v>0</v>
      </c>
      <c r="BJ26" s="11">
        <f t="shared" ca="1" si="7"/>
        <v>0</v>
      </c>
      <c r="BK26" s="11">
        <f t="shared" ca="1" si="8"/>
        <v>0</v>
      </c>
      <c r="BL26" s="11">
        <f t="shared" ca="1" si="9"/>
        <v>0</v>
      </c>
      <c r="BM26" s="11">
        <f t="shared" ca="1" si="10"/>
        <v>0</v>
      </c>
      <c r="BN26" s="11">
        <f t="shared" ca="1" si="11"/>
        <v>0</v>
      </c>
      <c r="BO26" s="11">
        <f t="shared" ca="1" si="12"/>
        <v>2.7993599999999997E-2</v>
      </c>
      <c r="BP26" s="11">
        <f t="shared" ca="1" si="13"/>
        <v>1.6796159999999997E-2</v>
      </c>
      <c r="BQ26" s="11">
        <f t="shared" ca="1" si="14"/>
        <v>1.6796159999999997E-2</v>
      </c>
      <c r="BR26" s="11">
        <f t="shared" ca="1" si="15"/>
        <v>0</v>
      </c>
      <c r="BS26" s="11">
        <f t="shared" ca="1" si="16"/>
        <v>1.6796159999999997E-2</v>
      </c>
      <c r="BT26" s="11">
        <f t="shared" ca="1" si="17"/>
        <v>2.7993599999999997E-2</v>
      </c>
      <c r="BU26" s="11">
        <f t="shared" ca="1" si="18"/>
        <v>0</v>
      </c>
      <c r="BV26" s="11">
        <f t="shared" ca="1" si="19"/>
        <v>0</v>
      </c>
      <c r="BW26" s="11">
        <f t="shared" ca="1" si="20"/>
        <v>0</v>
      </c>
      <c r="BX26" s="11">
        <f t="shared" ca="1" si="21"/>
        <v>0</v>
      </c>
      <c r="BY26" s="11">
        <f t="shared" ca="1" si="22"/>
        <v>0</v>
      </c>
      <c r="BZ26" s="11">
        <f t="shared" ca="1" si="23"/>
        <v>0</v>
      </c>
      <c r="CA26" s="11">
        <f t="shared" ca="1" si="24"/>
        <v>0</v>
      </c>
      <c r="CB26" s="11">
        <f t="shared" ca="1" si="25"/>
        <v>0</v>
      </c>
      <c r="CC26" s="11">
        <f t="shared" ca="1" si="26"/>
        <v>0</v>
      </c>
      <c r="CD26" s="11">
        <f t="shared" ca="1" si="27"/>
        <v>0</v>
      </c>
      <c r="CE26" s="11">
        <f t="shared" ca="1" si="28"/>
        <v>0</v>
      </c>
      <c r="CF26" s="11">
        <f t="shared" ca="1" si="29"/>
        <v>0</v>
      </c>
      <c r="CG26" s="11">
        <f t="shared" ca="1" si="30"/>
        <v>0</v>
      </c>
      <c r="CH26" s="11">
        <f t="shared" ca="1" si="31"/>
        <v>4.6655999999999996E-2</v>
      </c>
      <c r="CI26" s="11">
        <f t="shared" ca="1" si="32"/>
        <v>0</v>
      </c>
      <c r="CJ26" s="11">
        <f t="shared" ca="1" si="33"/>
        <v>0</v>
      </c>
      <c r="CK26" s="11">
        <f t="shared" ca="1" si="34"/>
        <v>0</v>
      </c>
      <c r="CL26" s="11">
        <f t="shared" ca="1" si="35"/>
        <v>0</v>
      </c>
      <c r="CM26" s="11">
        <f t="shared" ca="1" si="36"/>
        <v>0</v>
      </c>
      <c r="CN26" s="11">
        <f t="shared" ca="1" si="37"/>
        <v>0</v>
      </c>
    </row>
    <row r="27" spans="1:92" x14ac:dyDescent="0.3">
      <c r="A27" s="20">
        <v>10.796953599999997</v>
      </c>
      <c r="B27">
        <v>21</v>
      </c>
      <c r="C27" t="s">
        <v>3</v>
      </c>
      <c r="D27" s="13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5">
        <v>0</v>
      </c>
      <c r="M27" s="13">
        <v>0</v>
      </c>
      <c r="N27" s="14">
        <v>0</v>
      </c>
      <c r="O27" s="14">
        <v>1</v>
      </c>
      <c r="P27" s="15">
        <v>0</v>
      </c>
      <c r="Q27" s="13">
        <v>0</v>
      </c>
      <c r="R27" s="14">
        <v>0</v>
      </c>
      <c r="S27" s="14">
        <v>0</v>
      </c>
      <c r="T27" s="14">
        <v>0</v>
      </c>
      <c r="U27" s="14">
        <v>1</v>
      </c>
      <c r="V27" s="14">
        <v>0</v>
      </c>
      <c r="W27" s="15">
        <v>1</v>
      </c>
      <c r="X27" s="13">
        <v>0</v>
      </c>
      <c r="Y27" s="14">
        <v>1</v>
      </c>
      <c r="Z27" s="14">
        <v>1</v>
      </c>
      <c r="AA27" s="14">
        <v>1</v>
      </c>
      <c r="AB27" s="14">
        <v>0</v>
      </c>
      <c r="AC27" s="15">
        <v>0</v>
      </c>
      <c r="AD27" s="13">
        <v>0</v>
      </c>
      <c r="AE27" s="14">
        <v>0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5">
        <v>0</v>
      </c>
      <c r="AP27" s="13">
        <v>0</v>
      </c>
      <c r="AQ27" s="14">
        <v>0</v>
      </c>
      <c r="AR27" s="14">
        <v>0</v>
      </c>
      <c r="AS27" s="15">
        <v>0</v>
      </c>
      <c r="AU27">
        <f t="shared" si="3"/>
        <v>6</v>
      </c>
      <c r="AW27" s="12">
        <f t="shared" ca="1" si="4"/>
        <v>2.7993599999999997E-2</v>
      </c>
      <c r="AY27" s="11">
        <f t="shared" ca="1" si="5"/>
        <v>0</v>
      </c>
      <c r="AZ27" s="11">
        <f t="shared" ca="1" si="38"/>
        <v>0</v>
      </c>
      <c r="BA27" s="11">
        <f t="shared" ca="1" si="39"/>
        <v>0</v>
      </c>
      <c r="BB27" s="11">
        <f t="shared" ca="1" si="40"/>
        <v>0</v>
      </c>
      <c r="BC27" s="11">
        <f t="shared" ca="1" si="41"/>
        <v>0</v>
      </c>
      <c r="BD27" s="11">
        <f t="shared" ca="1" si="42"/>
        <v>0</v>
      </c>
      <c r="BE27" s="11">
        <f t="shared" ca="1" si="43"/>
        <v>0</v>
      </c>
      <c r="BF27" s="11">
        <f t="shared" ca="1" si="44"/>
        <v>0</v>
      </c>
      <c r="BG27" s="11">
        <f t="shared" ca="1" si="45"/>
        <v>0</v>
      </c>
      <c r="BH27" s="11">
        <f t="shared" ca="1" si="46"/>
        <v>0</v>
      </c>
      <c r="BI27" s="11">
        <f t="shared" ca="1" si="6"/>
        <v>0</v>
      </c>
      <c r="BJ27" s="11">
        <f t="shared" ca="1" si="7"/>
        <v>1.0077695999999999E-2</v>
      </c>
      <c r="BK27" s="11">
        <f t="shared" ca="1" si="8"/>
        <v>0</v>
      </c>
      <c r="BL27" s="11">
        <f t="shared" ca="1" si="9"/>
        <v>0</v>
      </c>
      <c r="BM27" s="11">
        <f t="shared" ca="1" si="10"/>
        <v>0</v>
      </c>
      <c r="BN27" s="11">
        <f t="shared" ca="1" si="11"/>
        <v>0</v>
      </c>
      <c r="BO27" s="11">
        <f t="shared" ca="1" si="12"/>
        <v>0</v>
      </c>
      <c r="BP27" s="11">
        <f t="shared" ca="1" si="13"/>
        <v>1.6796159999999997E-2</v>
      </c>
      <c r="BQ27" s="11">
        <f t="shared" ca="1" si="14"/>
        <v>0</v>
      </c>
      <c r="BR27" s="11">
        <f t="shared" ca="1" si="15"/>
        <v>2.7993599999999997E-2</v>
      </c>
      <c r="BS27" s="11">
        <f t="shared" ca="1" si="16"/>
        <v>0</v>
      </c>
      <c r="BT27" s="11">
        <f t="shared" ca="1" si="17"/>
        <v>2.7993599999999997E-2</v>
      </c>
      <c r="BU27" s="11">
        <f t="shared" ca="1" si="18"/>
        <v>2.7993599999999997E-2</v>
      </c>
      <c r="BV27" s="11">
        <f t="shared" ca="1" si="19"/>
        <v>1.6796159999999997E-2</v>
      </c>
      <c r="BW27" s="11">
        <f t="shared" ca="1" si="20"/>
        <v>0</v>
      </c>
      <c r="BX27" s="11">
        <f t="shared" ca="1" si="21"/>
        <v>0</v>
      </c>
      <c r="BY27" s="11">
        <f t="shared" ca="1" si="22"/>
        <v>0</v>
      </c>
      <c r="BZ27" s="11">
        <f t="shared" ca="1" si="23"/>
        <v>0</v>
      </c>
      <c r="CA27" s="11">
        <f t="shared" ca="1" si="24"/>
        <v>0</v>
      </c>
      <c r="CB27" s="11">
        <f t="shared" ca="1" si="25"/>
        <v>0</v>
      </c>
      <c r="CC27" s="11">
        <f t="shared" ca="1" si="26"/>
        <v>0</v>
      </c>
      <c r="CD27" s="11">
        <f t="shared" ca="1" si="27"/>
        <v>0</v>
      </c>
      <c r="CE27" s="11">
        <f t="shared" ca="1" si="28"/>
        <v>0</v>
      </c>
      <c r="CF27" s="11">
        <f t="shared" ca="1" si="29"/>
        <v>0</v>
      </c>
      <c r="CG27" s="11">
        <f t="shared" ca="1" si="30"/>
        <v>0</v>
      </c>
      <c r="CH27" s="11">
        <f t="shared" ca="1" si="31"/>
        <v>0</v>
      </c>
      <c r="CI27" s="11">
        <f t="shared" ca="1" si="32"/>
        <v>0</v>
      </c>
      <c r="CJ27" s="11">
        <f t="shared" ca="1" si="33"/>
        <v>0</v>
      </c>
      <c r="CK27" s="11">
        <f t="shared" ca="1" si="34"/>
        <v>0</v>
      </c>
      <c r="CL27" s="11">
        <f t="shared" ca="1" si="35"/>
        <v>0</v>
      </c>
      <c r="CM27" s="11">
        <f t="shared" ca="1" si="36"/>
        <v>0</v>
      </c>
      <c r="CN27" s="11">
        <f t="shared" ca="1" si="37"/>
        <v>0</v>
      </c>
    </row>
    <row r="28" spans="1:92" x14ac:dyDescent="0.3">
      <c r="A28" s="20">
        <v>9.9957759999999958</v>
      </c>
      <c r="B28">
        <v>22</v>
      </c>
      <c r="C28" t="s">
        <v>3</v>
      </c>
      <c r="D28" s="13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5">
        <v>0</v>
      </c>
      <c r="M28" s="13">
        <v>0</v>
      </c>
      <c r="N28" s="14">
        <v>0</v>
      </c>
      <c r="O28" s="14">
        <v>0</v>
      </c>
      <c r="P28" s="15">
        <v>0</v>
      </c>
      <c r="Q28" s="13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5">
        <v>1</v>
      </c>
      <c r="X28" s="13">
        <v>1</v>
      </c>
      <c r="Y28" s="14">
        <v>0</v>
      </c>
      <c r="Z28" s="14">
        <v>1</v>
      </c>
      <c r="AA28" s="14">
        <v>0</v>
      </c>
      <c r="AB28" s="14">
        <v>0</v>
      </c>
      <c r="AC28" s="15">
        <v>0</v>
      </c>
      <c r="AD28" s="13">
        <v>0</v>
      </c>
      <c r="AE28" s="14">
        <v>0</v>
      </c>
      <c r="AF28" s="14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1</v>
      </c>
      <c r="AN28" s="14">
        <v>0</v>
      </c>
      <c r="AO28" s="15">
        <v>0</v>
      </c>
      <c r="AP28" s="13">
        <v>0</v>
      </c>
      <c r="AQ28" s="14">
        <v>0</v>
      </c>
      <c r="AR28" s="14">
        <v>0</v>
      </c>
      <c r="AS28" s="15">
        <v>0</v>
      </c>
      <c r="AU28">
        <f t="shared" si="3"/>
        <v>4</v>
      </c>
      <c r="AW28" s="12">
        <f t="shared" ca="1" si="4"/>
        <v>4.6655999999999996E-2</v>
      </c>
      <c r="AY28" s="11">
        <f t="shared" ca="1" si="5"/>
        <v>0</v>
      </c>
      <c r="AZ28" s="11">
        <f t="shared" ca="1" si="38"/>
        <v>0</v>
      </c>
      <c r="BA28" s="11">
        <f t="shared" ca="1" si="39"/>
        <v>0</v>
      </c>
      <c r="BB28" s="11">
        <f t="shared" ca="1" si="40"/>
        <v>0</v>
      </c>
      <c r="BC28" s="11">
        <f t="shared" ca="1" si="41"/>
        <v>0</v>
      </c>
      <c r="BD28" s="11">
        <f t="shared" ca="1" si="42"/>
        <v>0</v>
      </c>
      <c r="BE28" s="11">
        <f t="shared" ca="1" si="43"/>
        <v>0</v>
      </c>
      <c r="BF28" s="11">
        <f t="shared" ca="1" si="44"/>
        <v>0</v>
      </c>
      <c r="BG28" s="11">
        <f t="shared" ca="1" si="45"/>
        <v>0</v>
      </c>
      <c r="BH28" s="11">
        <f t="shared" ca="1" si="46"/>
        <v>0</v>
      </c>
      <c r="BI28" s="11">
        <f t="shared" ca="1" si="6"/>
        <v>0</v>
      </c>
      <c r="BJ28" s="11">
        <f t="shared" ca="1" si="7"/>
        <v>0</v>
      </c>
      <c r="BK28" s="11">
        <f t="shared" ca="1" si="8"/>
        <v>0</v>
      </c>
      <c r="BL28" s="11">
        <f t="shared" ca="1" si="9"/>
        <v>0</v>
      </c>
      <c r="BM28" s="11">
        <f t="shared" ca="1" si="10"/>
        <v>0</v>
      </c>
      <c r="BN28" s="11">
        <f t="shared" ca="1" si="11"/>
        <v>0</v>
      </c>
      <c r="BO28" s="11">
        <f t="shared" ca="1" si="12"/>
        <v>0</v>
      </c>
      <c r="BP28" s="11">
        <f t="shared" ca="1" si="13"/>
        <v>0</v>
      </c>
      <c r="BQ28" s="11">
        <f t="shared" ca="1" si="14"/>
        <v>0</v>
      </c>
      <c r="BR28" s="11">
        <f t="shared" ca="1" si="15"/>
        <v>2.7993599999999997E-2</v>
      </c>
      <c r="BS28" s="11">
        <f t="shared" ca="1" si="16"/>
        <v>1.6796159999999997E-2</v>
      </c>
      <c r="BT28" s="11">
        <f t="shared" ca="1" si="17"/>
        <v>0</v>
      </c>
      <c r="BU28" s="11">
        <f t="shared" ca="1" si="18"/>
        <v>2.7993599999999997E-2</v>
      </c>
      <c r="BV28" s="11">
        <f t="shared" ca="1" si="19"/>
        <v>0</v>
      </c>
      <c r="BW28" s="11">
        <f t="shared" ca="1" si="20"/>
        <v>0</v>
      </c>
      <c r="BX28" s="11">
        <f t="shared" ca="1" si="21"/>
        <v>0</v>
      </c>
      <c r="BY28" s="11">
        <f t="shared" ca="1" si="22"/>
        <v>0</v>
      </c>
      <c r="BZ28" s="11">
        <f t="shared" ca="1" si="23"/>
        <v>0</v>
      </c>
      <c r="CA28" s="11">
        <f t="shared" ca="1" si="24"/>
        <v>0</v>
      </c>
      <c r="CB28" s="11">
        <f t="shared" ca="1" si="25"/>
        <v>0</v>
      </c>
      <c r="CC28" s="11">
        <f t="shared" ca="1" si="26"/>
        <v>0</v>
      </c>
      <c r="CD28" s="11">
        <f t="shared" ca="1" si="27"/>
        <v>0</v>
      </c>
      <c r="CE28" s="11">
        <f t="shared" ca="1" si="28"/>
        <v>0</v>
      </c>
      <c r="CF28" s="11">
        <f t="shared" ca="1" si="29"/>
        <v>0</v>
      </c>
      <c r="CG28" s="11">
        <f t="shared" ca="1" si="30"/>
        <v>0</v>
      </c>
      <c r="CH28" s="11">
        <f t="shared" ca="1" si="31"/>
        <v>4.6655999999999996E-2</v>
      </c>
      <c r="CI28" s="11">
        <f t="shared" ca="1" si="32"/>
        <v>0</v>
      </c>
      <c r="CJ28" s="11">
        <f t="shared" ca="1" si="33"/>
        <v>0</v>
      </c>
      <c r="CK28" s="11">
        <f t="shared" ca="1" si="34"/>
        <v>0</v>
      </c>
      <c r="CL28" s="11">
        <f t="shared" ca="1" si="35"/>
        <v>0</v>
      </c>
      <c r="CM28" s="11">
        <f t="shared" ca="1" si="36"/>
        <v>0</v>
      </c>
      <c r="CN28" s="11">
        <f t="shared" ca="1" si="37"/>
        <v>0</v>
      </c>
    </row>
    <row r="29" spans="1:92" x14ac:dyDescent="0.3">
      <c r="A29" s="20">
        <v>10.331775999999994</v>
      </c>
      <c r="B29">
        <v>23</v>
      </c>
      <c r="C29" t="s">
        <v>3</v>
      </c>
      <c r="D29" s="13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5">
        <v>0</v>
      </c>
      <c r="M29" s="13">
        <v>0</v>
      </c>
      <c r="N29" s="14">
        <v>0</v>
      </c>
      <c r="O29" s="14">
        <v>0</v>
      </c>
      <c r="P29" s="15">
        <v>0</v>
      </c>
      <c r="Q29" s="13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5">
        <v>0</v>
      </c>
      <c r="X29" s="13">
        <v>1</v>
      </c>
      <c r="Y29" s="14">
        <v>1</v>
      </c>
      <c r="Z29" s="14">
        <v>0</v>
      </c>
      <c r="AA29" s="14">
        <v>1</v>
      </c>
      <c r="AB29" s="14">
        <v>1</v>
      </c>
      <c r="AC29" s="15">
        <v>1</v>
      </c>
      <c r="AD29" s="13">
        <v>0</v>
      </c>
      <c r="AE29" s="14">
        <v>0</v>
      </c>
      <c r="AF29" s="14">
        <v>0</v>
      </c>
      <c r="AG29" s="14">
        <v>0</v>
      </c>
      <c r="AH29" s="14">
        <v>0</v>
      </c>
      <c r="AI29" s="14">
        <v>0</v>
      </c>
      <c r="AJ29" s="14">
        <v>0</v>
      </c>
      <c r="AK29" s="14">
        <v>0</v>
      </c>
      <c r="AL29" s="14">
        <v>0</v>
      </c>
      <c r="AM29" s="14">
        <v>1</v>
      </c>
      <c r="AN29" s="14">
        <v>0</v>
      </c>
      <c r="AO29" s="15">
        <v>0</v>
      </c>
      <c r="AP29" s="13">
        <v>0</v>
      </c>
      <c r="AQ29" s="14">
        <v>0</v>
      </c>
      <c r="AR29" s="14">
        <v>0</v>
      </c>
      <c r="AS29" s="15">
        <v>0</v>
      </c>
      <c r="AU29">
        <f t="shared" si="3"/>
        <v>6</v>
      </c>
      <c r="AW29" s="12">
        <f t="shared" ca="1" si="4"/>
        <v>4.6655999999999996E-2</v>
      </c>
      <c r="AY29" s="11">
        <f t="shared" ca="1" si="5"/>
        <v>0</v>
      </c>
      <c r="AZ29" s="11">
        <f t="shared" ca="1" si="38"/>
        <v>0</v>
      </c>
      <c r="BA29" s="11">
        <f t="shared" ca="1" si="39"/>
        <v>0</v>
      </c>
      <c r="BB29" s="11">
        <f t="shared" ca="1" si="40"/>
        <v>0</v>
      </c>
      <c r="BC29" s="11">
        <f t="shared" ca="1" si="41"/>
        <v>0</v>
      </c>
      <c r="BD29" s="11">
        <f t="shared" ca="1" si="42"/>
        <v>0</v>
      </c>
      <c r="BE29" s="11">
        <f t="shared" ca="1" si="43"/>
        <v>0</v>
      </c>
      <c r="BF29" s="11">
        <f t="shared" ca="1" si="44"/>
        <v>0</v>
      </c>
      <c r="BG29" s="11">
        <f t="shared" ca="1" si="45"/>
        <v>0</v>
      </c>
      <c r="BH29" s="11">
        <f t="shared" ca="1" si="46"/>
        <v>0</v>
      </c>
      <c r="BI29" s="11">
        <f t="shared" ca="1" si="6"/>
        <v>0</v>
      </c>
      <c r="BJ29" s="11">
        <f t="shared" ca="1" si="7"/>
        <v>0</v>
      </c>
      <c r="BK29" s="11">
        <f t="shared" ca="1" si="8"/>
        <v>0</v>
      </c>
      <c r="BL29" s="11">
        <f t="shared" ca="1" si="9"/>
        <v>0</v>
      </c>
      <c r="BM29" s="11">
        <f t="shared" ca="1" si="10"/>
        <v>0</v>
      </c>
      <c r="BN29" s="11">
        <f t="shared" ca="1" si="11"/>
        <v>0</v>
      </c>
      <c r="BO29" s="11">
        <f t="shared" ca="1" si="12"/>
        <v>0</v>
      </c>
      <c r="BP29" s="11">
        <f t="shared" ca="1" si="13"/>
        <v>0</v>
      </c>
      <c r="BQ29" s="11">
        <f t="shared" ca="1" si="14"/>
        <v>0</v>
      </c>
      <c r="BR29" s="11">
        <f t="shared" ca="1" si="15"/>
        <v>0</v>
      </c>
      <c r="BS29" s="11">
        <f t="shared" ca="1" si="16"/>
        <v>1.6796159999999997E-2</v>
      </c>
      <c r="BT29" s="11">
        <f t="shared" ca="1" si="17"/>
        <v>2.7993599999999997E-2</v>
      </c>
      <c r="BU29" s="11">
        <f t="shared" ca="1" si="18"/>
        <v>0</v>
      </c>
      <c r="BV29" s="11">
        <f t="shared" ca="1" si="19"/>
        <v>1.6796159999999997E-2</v>
      </c>
      <c r="BW29" s="11">
        <f t="shared" ca="1" si="20"/>
        <v>1.6796159999999997E-2</v>
      </c>
      <c r="BX29" s="11">
        <f t="shared" ca="1" si="21"/>
        <v>1.6796159999999997E-2</v>
      </c>
      <c r="BY29" s="11">
        <f t="shared" ca="1" si="22"/>
        <v>0</v>
      </c>
      <c r="BZ29" s="11">
        <f t="shared" ca="1" si="23"/>
        <v>0</v>
      </c>
      <c r="CA29" s="11">
        <f t="shared" ca="1" si="24"/>
        <v>0</v>
      </c>
      <c r="CB29" s="11">
        <f t="shared" ca="1" si="25"/>
        <v>0</v>
      </c>
      <c r="CC29" s="11">
        <f t="shared" ca="1" si="26"/>
        <v>0</v>
      </c>
      <c r="CD29" s="11">
        <f t="shared" ca="1" si="27"/>
        <v>0</v>
      </c>
      <c r="CE29" s="11">
        <f t="shared" ca="1" si="28"/>
        <v>0</v>
      </c>
      <c r="CF29" s="11">
        <f t="shared" ca="1" si="29"/>
        <v>0</v>
      </c>
      <c r="CG29" s="11">
        <f t="shared" ca="1" si="30"/>
        <v>0</v>
      </c>
      <c r="CH29" s="11">
        <f t="shared" ca="1" si="31"/>
        <v>4.6655999999999996E-2</v>
      </c>
      <c r="CI29" s="11">
        <f t="shared" ca="1" si="32"/>
        <v>0</v>
      </c>
      <c r="CJ29" s="11">
        <f t="shared" ca="1" si="33"/>
        <v>0</v>
      </c>
      <c r="CK29" s="11">
        <f t="shared" ca="1" si="34"/>
        <v>0</v>
      </c>
      <c r="CL29" s="11">
        <f t="shared" ca="1" si="35"/>
        <v>0</v>
      </c>
      <c r="CM29" s="11">
        <f t="shared" ca="1" si="36"/>
        <v>0</v>
      </c>
      <c r="CN29" s="11">
        <f t="shared" ca="1" si="37"/>
        <v>0</v>
      </c>
    </row>
    <row r="30" spans="1:92" x14ac:dyDescent="0.3">
      <c r="A30" s="20">
        <v>8.4547071999999979</v>
      </c>
      <c r="B30">
        <v>24</v>
      </c>
      <c r="C30" t="s">
        <v>3</v>
      </c>
      <c r="D30" s="13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5">
        <v>0</v>
      </c>
      <c r="M30" s="13">
        <v>0</v>
      </c>
      <c r="N30" s="14">
        <v>0</v>
      </c>
      <c r="O30" s="14">
        <v>0</v>
      </c>
      <c r="P30" s="15">
        <v>0</v>
      </c>
      <c r="Q30" s="13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5">
        <v>0</v>
      </c>
      <c r="X30" s="13">
        <v>1</v>
      </c>
      <c r="Y30" s="14">
        <v>0</v>
      </c>
      <c r="Z30" s="14">
        <v>1</v>
      </c>
      <c r="AA30" s="14">
        <v>0</v>
      </c>
      <c r="AB30" s="14">
        <v>1</v>
      </c>
      <c r="AC30" s="15">
        <v>0</v>
      </c>
      <c r="AD30" s="13">
        <v>0</v>
      </c>
      <c r="AE30" s="14">
        <v>0</v>
      </c>
      <c r="AF30" s="14">
        <v>0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5">
        <v>0</v>
      </c>
      <c r="AP30" s="13">
        <v>0</v>
      </c>
      <c r="AQ30" s="14">
        <v>0</v>
      </c>
      <c r="AR30" s="14">
        <v>0</v>
      </c>
      <c r="AS30" s="15">
        <v>0</v>
      </c>
      <c r="AU30">
        <f t="shared" si="3"/>
        <v>3</v>
      </c>
      <c r="AW30" s="12">
        <f t="shared" ca="1" si="4"/>
        <v>2.7993599999999997E-2</v>
      </c>
      <c r="AY30" s="11">
        <f t="shared" ca="1" si="5"/>
        <v>0</v>
      </c>
      <c r="AZ30" s="11">
        <f t="shared" ca="1" si="38"/>
        <v>0</v>
      </c>
      <c r="BA30" s="11">
        <f t="shared" ca="1" si="39"/>
        <v>0</v>
      </c>
      <c r="BB30" s="11">
        <f t="shared" ca="1" si="40"/>
        <v>0</v>
      </c>
      <c r="BC30" s="11">
        <f t="shared" ca="1" si="41"/>
        <v>0</v>
      </c>
      <c r="BD30" s="11">
        <f t="shared" ca="1" si="42"/>
        <v>0</v>
      </c>
      <c r="BE30" s="11">
        <f t="shared" ca="1" si="43"/>
        <v>0</v>
      </c>
      <c r="BF30" s="11">
        <f t="shared" ca="1" si="44"/>
        <v>0</v>
      </c>
      <c r="BG30" s="11">
        <f t="shared" ca="1" si="45"/>
        <v>0</v>
      </c>
      <c r="BH30" s="11">
        <f t="shared" ca="1" si="46"/>
        <v>0</v>
      </c>
      <c r="BI30" s="11">
        <f t="shared" ca="1" si="6"/>
        <v>0</v>
      </c>
      <c r="BJ30" s="11">
        <f t="shared" ca="1" si="7"/>
        <v>0</v>
      </c>
      <c r="BK30" s="11">
        <f t="shared" ca="1" si="8"/>
        <v>0</v>
      </c>
      <c r="BL30" s="11">
        <f t="shared" ca="1" si="9"/>
        <v>0</v>
      </c>
      <c r="BM30" s="11">
        <f t="shared" ca="1" si="10"/>
        <v>0</v>
      </c>
      <c r="BN30" s="11">
        <f t="shared" ca="1" si="11"/>
        <v>0</v>
      </c>
      <c r="BO30" s="11">
        <f t="shared" ca="1" si="12"/>
        <v>0</v>
      </c>
      <c r="BP30" s="11">
        <f t="shared" ca="1" si="13"/>
        <v>0</v>
      </c>
      <c r="BQ30" s="11">
        <f t="shared" ca="1" si="14"/>
        <v>0</v>
      </c>
      <c r="BR30" s="11">
        <f t="shared" ca="1" si="15"/>
        <v>0</v>
      </c>
      <c r="BS30" s="11">
        <f t="shared" ca="1" si="16"/>
        <v>1.6796159999999997E-2</v>
      </c>
      <c r="BT30" s="11">
        <f t="shared" ca="1" si="17"/>
        <v>0</v>
      </c>
      <c r="BU30" s="11">
        <f t="shared" ca="1" si="18"/>
        <v>2.7993599999999997E-2</v>
      </c>
      <c r="BV30" s="11">
        <f t="shared" ca="1" si="19"/>
        <v>0</v>
      </c>
      <c r="BW30" s="11">
        <f t="shared" ca="1" si="20"/>
        <v>1.6796159999999997E-2</v>
      </c>
      <c r="BX30" s="11">
        <f t="shared" ca="1" si="21"/>
        <v>0</v>
      </c>
      <c r="BY30" s="11">
        <f t="shared" ca="1" si="22"/>
        <v>0</v>
      </c>
      <c r="BZ30" s="11">
        <f t="shared" ca="1" si="23"/>
        <v>0</v>
      </c>
      <c r="CA30" s="11">
        <f t="shared" ca="1" si="24"/>
        <v>0</v>
      </c>
      <c r="CB30" s="11">
        <f t="shared" ca="1" si="25"/>
        <v>0</v>
      </c>
      <c r="CC30" s="11">
        <f t="shared" ca="1" si="26"/>
        <v>0</v>
      </c>
      <c r="CD30" s="11">
        <f t="shared" ca="1" si="27"/>
        <v>0</v>
      </c>
      <c r="CE30" s="11">
        <f t="shared" ca="1" si="28"/>
        <v>0</v>
      </c>
      <c r="CF30" s="11">
        <f t="shared" ca="1" si="29"/>
        <v>0</v>
      </c>
      <c r="CG30" s="11">
        <f t="shared" ca="1" si="30"/>
        <v>0</v>
      </c>
      <c r="CH30" s="11">
        <f t="shared" ca="1" si="31"/>
        <v>0</v>
      </c>
      <c r="CI30" s="11">
        <f t="shared" ca="1" si="32"/>
        <v>0</v>
      </c>
      <c r="CJ30" s="11">
        <f t="shared" ca="1" si="33"/>
        <v>0</v>
      </c>
      <c r="CK30" s="11">
        <f t="shared" ca="1" si="34"/>
        <v>0</v>
      </c>
      <c r="CL30" s="11">
        <f t="shared" ca="1" si="35"/>
        <v>0</v>
      </c>
      <c r="CM30" s="11">
        <f t="shared" ca="1" si="36"/>
        <v>0</v>
      </c>
      <c r="CN30" s="11">
        <f t="shared" ca="1" si="37"/>
        <v>0</v>
      </c>
    </row>
    <row r="31" spans="1:92" x14ac:dyDescent="0.3">
      <c r="A31" s="20">
        <v>7.3190655999999965</v>
      </c>
      <c r="B31">
        <v>25</v>
      </c>
      <c r="C31" t="s">
        <v>3</v>
      </c>
      <c r="D31" s="13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5">
        <v>0</v>
      </c>
      <c r="M31" s="13">
        <v>0</v>
      </c>
      <c r="N31" s="14">
        <v>0</v>
      </c>
      <c r="O31" s="14">
        <v>0</v>
      </c>
      <c r="P31" s="15">
        <v>0</v>
      </c>
      <c r="Q31" s="13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5">
        <v>0</v>
      </c>
      <c r="X31" s="13">
        <v>0</v>
      </c>
      <c r="Y31" s="14">
        <v>0</v>
      </c>
      <c r="Z31" s="14">
        <v>1</v>
      </c>
      <c r="AA31" s="14">
        <v>1</v>
      </c>
      <c r="AB31" s="14">
        <v>0</v>
      </c>
      <c r="AC31" s="15">
        <v>1</v>
      </c>
      <c r="AD31" s="13">
        <v>0</v>
      </c>
      <c r="AE31" s="14">
        <v>0</v>
      </c>
      <c r="AF31" s="14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5">
        <v>0</v>
      </c>
      <c r="AP31" s="13">
        <v>0</v>
      </c>
      <c r="AQ31" s="14">
        <v>0</v>
      </c>
      <c r="AR31" s="14">
        <v>0</v>
      </c>
      <c r="AS31" s="15">
        <v>0</v>
      </c>
      <c r="AU31">
        <f t="shared" si="3"/>
        <v>3</v>
      </c>
      <c r="AW31" s="12">
        <f t="shared" ca="1" si="4"/>
        <v>2.7993599999999997E-2</v>
      </c>
      <c r="AY31" s="11">
        <f t="shared" ca="1" si="5"/>
        <v>0</v>
      </c>
      <c r="AZ31" s="11">
        <f t="shared" ca="1" si="38"/>
        <v>0</v>
      </c>
      <c r="BA31" s="11">
        <f t="shared" ca="1" si="39"/>
        <v>0</v>
      </c>
      <c r="BB31" s="11">
        <f t="shared" ca="1" si="40"/>
        <v>0</v>
      </c>
      <c r="BC31" s="11">
        <f t="shared" ca="1" si="41"/>
        <v>0</v>
      </c>
      <c r="BD31" s="11">
        <f t="shared" ca="1" si="42"/>
        <v>0</v>
      </c>
      <c r="BE31" s="11">
        <f t="shared" ca="1" si="43"/>
        <v>0</v>
      </c>
      <c r="BF31" s="11">
        <f t="shared" ca="1" si="44"/>
        <v>0</v>
      </c>
      <c r="BG31" s="11">
        <f t="shared" ca="1" si="45"/>
        <v>0</v>
      </c>
      <c r="BH31" s="11">
        <f t="shared" ca="1" si="46"/>
        <v>0</v>
      </c>
      <c r="BI31" s="11">
        <f t="shared" ca="1" si="6"/>
        <v>0</v>
      </c>
      <c r="BJ31" s="11">
        <f t="shared" ca="1" si="7"/>
        <v>0</v>
      </c>
      <c r="BK31" s="11">
        <f t="shared" ca="1" si="8"/>
        <v>0</v>
      </c>
      <c r="BL31" s="11">
        <f t="shared" ca="1" si="9"/>
        <v>0</v>
      </c>
      <c r="BM31" s="11">
        <f t="shared" ca="1" si="10"/>
        <v>0</v>
      </c>
      <c r="BN31" s="11">
        <f t="shared" ca="1" si="11"/>
        <v>0</v>
      </c>
      <c r="BO31" s="11">
        <f t="shared" ca="1" si="12"/>
        <v>0</v>
      </c>
      <c r="BP31" s="11">
        <f t="shared" ca="1" si="13"/>
        <v>0</v>
      </c>
      <c r="BQ31" s="11">
        <f t="shared" ca="1" si="14"/>
        <v>0</v>
      </c>
      <c r="BR31" s="11">
        <f t="shared" ca="1" si="15"/>
        <v>0</v>
      </c>
      <c r="BS31" s="11">
        <f t="shared" ca="1" si="16"/>
        <v>0</v>
      </c>
      <c r="BT31" s="11">
        <f t="shared" ca="1" si="17"/>
        <v>0</v>
      </c>
      <c r="BU31" s="11">
        <f t="shared" ca="1" si="18"/>
        <v>2.7993599999999997E-2</v>
      </c>
      <c r="BV31" s="11">
        <f t="shared" ca="1" si="19"/>
        <v>1.6796159999999997E-2</v>
      </c>
      <c r="BW31" s="11">
        <f t="shared" ca="1" si="20"/>
        <v>0</v>
      </c>
      <c r="BX31" s="11">
        <f t="shared" ca="1" si="21"/>
        <v>1.6796159999999997E-2</v>
      </c>
      <c r="BY31" s="11">
        <f t="shared" ca="1" si="22"/>
        <v>0</v>
      </c>
      <c r="BZ31" s="11">
        <f t="shared" ca="1" si="23"/>
        <v>0</v>
      </c>
      <c r="CA31" s="11">
        <f t="shared" ca="1" si="24"/>
        <v>0</v>
      </c>
      <c r="CB31" s="11">
        <f t="shared" ca="1" si="25"/>
        <v>0</v>
      </c>
      <c r="CC31" s="11">
        <f t="shared" ca="1" si="26"/>
        <v>0</v>
      </c>
      <c r="CD31" s="11">
        <f t="shared" ca="1" si="27"/>
        <v>0</v>
      </c>
      <c r="CE31" s="11">
        <f t="shared" ca="1" si="28"/>
        <v>0</v>
      </c>
      <c r="CF31" s="11">
        <f t="shared" ca="1" si="29"/>
        <v>0</v>
      </c>
      <c r="CG31" s="11">
        <f t="shared" ca="1" si="30"/>
        <v>0</v>
      </c>
      <c r="CH31" s="11">
        <f t="shared" ca="1" si="31"/>
        <v>0</v>
      </c>
      <c r="CI31" s="11">
        <f t="shared" ca="1" si="32"/>
        <v>0</v>
      </c>
      <c r="CJ31" s="11">
        <f t="shared" ca="1" si="33"/>
        <v>0</v>
      </c>
      <c r="CK31" s="11">
        <f t="shared" ca="1" si="34"/>
        <v>0</v>
      </c>
      <c r="CL31" s="11">
        <f t="shared" ca="1" si="35"/>
        <v>0</v>
      </c>
      <c r="CM31" s="11">
        <f t="shared" ca="1" si="36"/>
        <v>0</v>
      </c>
      <c r="CN31" s="11">
        <f t="shared" ca="1" si="37"/>
        <v>0</v>
      </c>
    </row>
    <row r="32" spans="1:92" x14ac:dyDescent="0.3">
      <c r="A32" s="20">
        <v>7.0790655999999963</v>
      </c>
      <c r="B32">
        <v>26</v>
      </c>
      <c r="C32" t="s">
        <v>3</v>
      </c>
      <c r="D32" s="13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5">
        <v>0</v>
      </c>
      <c r="M32" s="13">
        <v>0</v>
      </c>
      <c r="N32" s="14">
        <v>0</v>
      </c>
      <c r="O32" s="14">
        <v>0</v>
      </c>
      <c r="P32" s="15">
        <v>0</v>
      </c>
      <c r="Q32" s="13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5">
        <v>0</v>
      </c>
      <c r="X32" s="13">
        <v>0</v>
      </c>
      <c r="Y32" s="14">
        <v>0</v>
      </c>
      <c r="Z32" s="14">
        <v>1</v>
      </c>
      <c r="AA32" s="14">
        <v>0</v>
      </c>
      <c r="AB32" s="14">
        <v>1</v>
      </c>
      <c r="AC32" s="15">
        <v>0</v>
      </c>
      <c r="AD32" s="13">
        <v>0</v>
      </c>
      <c r="AE32" s="14">
        <v>0</v>
      </c>
      <c r="AF32" s="14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5">
        <v>0</v>
      </c>
      <c r="AP32" s="13">
        <v>0</v>
      </c>
      <c r="AQ32" s="14">
        <v>0</v>
      </c>
      <c r="AR32" s="14">
        <v>0</v>
      </c>
      <c r="AS32" s="15">
        <v>0</v>
      </c>
      <c r="AU32">
        <f t="shared" si="3"/>
        <v>2</v>
      </c>
      <c r="AW32" s="12">
        <f t="shared" ca="1" si="4"/>
        <v>2.7993599999999997E-2</v>
      </c>
      <c r="AY32" s="11">
        <f t="shared" ca="1" si="5"/>
        <v>0</v>
      </c>
      <c r="AZ32" s="11">
        <f t="shared" ca="1" si="38"/>
        <v>0</v>
      </c>
      <c r="BA32" s="11">
        <f t="shared" ca="1" si="39"/>
        <v>0</v>
      </c>
      <c r="BB32" s="11">
        <f t="shared" ca="1" si="40"/>
        <v>0</v>
      </c>
      <c r="BC32" s="11">
        <f t="shared" ca="1" si="41"/>
        <v>0</v>
      </c>
      <c r="BD32" s="11">
        <f t="shared" ca="1" si="42"/>
        <v>0</v>
      </c>
      <c r="BE32" s="11">
        <f t="shared" ca="1" si="43"/>
        <v>0</v>
      </c>
      <c r="BF32" s="11">
        <f t="shared" ca="1" si="44"/>
        <v>0</v>
      </c>
      <c r="BG32" s="11">
        <f t="shared" ca="1" si="45"/>
        <v>0</v>
      </c>
      <c r="BH32" s="11">
        <f t="shared" ca="1" si="46"/>
        <v>0</v>
      </c>
      <c r="BI32" s="11">
        <f t="shared" ca="1" si="6"/>
        <v>0</v>
      </c>
      <c r="BJ32" s="11">
        <f t="shared" ca="1" si="7"/>
        <v>0</v>
      </c>
      <c r="BK32" s="11">
        <f t="shared" ca="1" si="8"/>
        <v>0</v>
      </c>
      <c r="BL32" s="11">
        <f t="shared" ca="1" si="9"/>
        <v>0</v>
      </c>
      <c r="BM32" s="11">
        <f t="shared" ca="1" si="10"/>
        <v>0</v>
      </c>
      <c r="BN32" s="11">
        <f t="shared" ca="1" si="11"/>
        <v>0</v>
      </c>
      <c r="BO32" s="11">
        <f t="shared" ca="1" si="12"/>
        <v>0</v>
      </c>
      <c r="BP32" s="11">
        <f t="shared" ca="1" si="13"/>
        <v>0</v>
      </c>
      <c r="BQ32" s="11">
        <f t="shared" ca="1" si="14"/>
        <v>0</v>
      </c>
      <c r="BR32" s="11">
        <f t="shared" ca="1" si="15"/>
        <v>0</v>
      </c>
      <c r="BS32" s="11">
        <f t="shared" ca="1" si="16"/>
        <v>0</v>
      </c>
      <c r="BT32" s="11">
        <f t="shared" ca="1" si="17"/>
        <v>0</v>
      </c>
      <c r="BU32" s="11">
        <f t="shared" ca="1" si="18"/>
        <v>2.7993599999999997E-2</v>
      </c>
      <c r="BV32" s="11">
        <f t="shared" ca="1" si="19"/>
        <v>0</v>
      </c>
      <c r="BW32" s="11">
        <f t="shared" ca="1" si="20"/>
        <v>1.6796159999999997E-2</v>
      </c>
      <c r="BX32" s="11">
        <f t="shared" ca="1" si="21"/>
        <v>0</v>
      </c>
      <c r="BY32" s="11">
        <f t="shared" ca="1" si="22"/>
        <v>0</v>
      </c>
      <c r="BZ32" s="11">
        <f t="shared" ca="1" si="23"/>
        <v>0</v>
      </c>
      <c r="CA32" s="11">
        <f t="shared" ca="1" si="24"/>
        <v>0</v>
      </c>
      <c r="CB32" s="11">
        <f t="shared" ca="1" si="25"/>
        <v>0</v>
      </c>
      <c r="CC32" s="11">
        <f t="shared" ca="1" si="26"/>
        <v>0</v>
      </c>
      <c r="CD32" s="11">
        <f t="shared" ca="1" si="27"/>
        <v>0</v>
      </c>
      <c r="CE32" s="11">
        <f t="shared" ca="1" si="28"/>
        <v>0</v>
      </c>
      <c r="CF32" s="11">
        <f t="shared" ca="1" si="29"/>
        <v>0</v>
      </c>
      <c r="CG32" s="11">
        <f t="shared" ca="1" si="30"/>
        <v>0</v>
      </c>
      <c r="CH32" s="11">
        <f t="shared" ca="1" si="31"/>
        <v>0</v>
      </c>
      <c r="CI32" s="11">
        <f t="shared" ca="1" si="32"/>
        <v>0</v>
      </c>
      <c r="CJ32" s="11">
        <f t="shared" ca="1" si="33"/>
        <v>0</v>
      </c>
      <c r="CK32" s="11">
        <f t="shared" ca="1" si="34"/>
        <v>0</v>
      </c>
      <c r="CL32" s="11">
        <f t="shared" ca="1" si="35"/>
        <v>0</v>
      </c>
      <c r="CM32" s="11">
        <f t="shared" ca="1" si="36"/>
        <v>0</v>
      </c>
      <c r="CN32" s="11">
        <f t="shared" ca="1" si="37"/>
        <v>0</v>
      </c>
    </row>
    <row r="33" spans="1:92" x14ac:dyDescent="0.3">
      <c r="A33" s="20">
        <v>10.382847999999996</v>
      </c>
      <c r="B33">
        <v>27</v>
      </c>
      <c r="C33" t="s">
        <v>4</v>
      </c>
      <c r="D33" s="13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5">
        <v>0</v>
      </c>
      <c r="M33" s="13">
        <v>0</v>
      </c>
      <c r="N33" s="14">
        <v>0</v>
      </c>
      <c r="O33" s="14">
        <v>0</v>
      </c>
      <c r="P33" s="15">
        <v>0</v>
      </c>
      <c r="Q33" s="13">
        <v>0</v>
      </c>
      <c r="R33" s="14">
        <v>0</v>
      </c>
      <c r="S33" s="14">
        <v>0</v>
      </c>
      <c r="T33" s="14">
        <v>1</v>
      </c>
      <c r="U33" s="14">
        <v>0</v>
      </c>
      <c r="V33" s="14">
        <v>0</v>
      </c>
      <c r="W33" s="15">
        <v>0</v>
      </c>
      <c r="X33" s="13">
        <v>0</v>
      </c>
      <c r="Y33" s="14">
        <v>0</v>
      </c>
      <c r="Z33" s="14">
        <v>0</v>
      </c>
      <c r="AA33" s="14">
        <v>0</v>
      </c>
      <c r="AB33" s="14">
        <v>0</v>
      </c>
      <c r="AC33" s="15">
        <v>0</v>
      </c>
      <c r="AD33" s="13">
        <v>0</v>
      </c>
      <c r="AE33" s="14">
        <v>1</v>
      </c>
      <c r="AF33" s="14">
        <v>0</v>
      </c>
      <c r="AG33" s="14">
        <v>0</v>
      </c>
      <c r="AH33" s="14">
        <v>0</v>
      </c>
      <c r="AI33" s="14">
        <v>1</v>
      </c>
      <c r="AJ33" s="14">
        <v>1</v>
      </c>
      <c r="AK33" s="14">
        <v>0</v>
      </c>
      <c r="AL33" s="14">
        <v>0</v>
      </c>
      <c r="AM33" s="14">
        <v>0</v>
      </c>
      <c r="AN33" s="14">
        <v>0</v>
      </c>
      <c r="AO33" s="15">
        <v>0</v>
      </c>
      <c r="AP33" s="13">
        <v>0</v>
      </c>
      <c r="AQ33" s="14">
        <v>0</v>
      </c>
      <c r="AR33" s="14">
        <v>0</v>
      </c>
      <c r="AS33" s="15">
        <v>0</v>
      </c>
      <c r="AU33">
        <f t="shared" si="3"/>
        <v>4</v>
      </c>
      <c r="AW33" s="12">
        <f t="shared" ca="1" si="4"/>
        <v>7.7759999999999996E-2</v>
      </c>
      <c r="AY33" s="11">
        <f t="shared" ca="1" si="5"/>
        <v>0</v>
      </c>
      <c r="AZ33" s="11">
        <f t="shared" ca="1" si="38"/>
        <v>0</v>
      </c>
      <c r="BA33" s="11">
        <f t="shared" ca="1" si="39"/>
        <v>0</v>
      </c>
      <c r="BB33" s="11">
        <f t="shared" ca="1" si="40"/>
        <v>0</v>
      </c>
      <c r="BC33" s="11">
        <f t="shared" ca="1" si="41"/>
        <v>0</v>
      </c>
      <c r="BD33" s="11">
        <f t="shared" ca="1" si="42"/>
        <v>0</v>
      </c>
      <c r="BE33" s="11">
        <f t="shared" ca="1" si="43"/>
        <v>0</v>
      </c>
      <c r="BF33" s="11">
        <f t="shared" ca="1" si="44"/>
        <v>0</v>
      </c>
      <c r="BG33" s="11">
        <f t="shared" ca="1" si="45"/>
        <v>0</v>
      </c>
      <c r="BH33" s="11">
        <f t="shared" ca="1" si="46"/>
        <v>0</v>
      </c>
      <c r="BI33" s="11">
        <f t="shared" ca="1" si="6"/>
        <v>0</v>
      </c>
      <c r="BJ33" s="11">
        <f t="shared" ca="1" si="7"/>
        <v>0</v>
      </c>
      <c r="BK33" s="11">
        <f t="shared" ca="1" si="8"/>
        <v>0</v>
      </c>
      <c r="BL33" s="11">
        <f t="shared" ca="1" si="9"/>
        <v>0</v>
      </c>
      <c r="BM33" s="11">
        <f t="shared" ca="1" si="10"/>
        <v>0</v>
      </c>
      <c r="BN33" s="11">
        <f t="shared" ca="1" si="11"/>
        <v>0</v>
      </c>
      <c r="BO33" s="11">
        <f t="shared" ca="1" si="12"/>
        <v>2.7993599999999997E-2</v>
      </c>
      <c r="BP33" s="11">
        <f t="shared" ca="1" si="13"/>
        <v>0</v>
      </c>
      <c r="BQ33" s="11">
        <f t="shared" ca="1" si="14"/>
        <v>0</v>
      </c>
      <c r="BR33" s="11">
        <f t="shared" ca="1" si="15"/>
        <v>0</v>
      </c>
      <c r="BS33" s="11">
        <f t="shared" ca="1" si="16"/>
        <v>0</v>
      </c>
      <c r="BT33" s="11">
        <f t="shared" ca="1" si="17"/>
        <v>0</v>
      </c>
      <c r="BU33" s="11">
        <f t="shared" ca="1" si="18"/>
        <v>0</v>
      </c>
      <c r="BV33" s="11">
        <f t="shared" ca="1" si="19"/>
        <v>0</v>
      </c>
      <c r="BW33" s="11">
        <f t="shared" ca="1" si="20"/>
        <v>0</v>
      </c>
      <c r="BX33" s="11">
        <f t="shared" ca="1" si="21"/>
        <v>0</v>
      </c>
      <c r="BY33" s="11">
        <f t="shared" ca="1" si="22"/>
        <v>0</v>
      </c>
      <c r="BZ33" s="11">
        <f t="shared" ca="1" si="23"/>
        <v>4.6655999999999996E-2</v>
      </c>
      <c r="CA33" s="11">
        <f t="shared" ca="1" si="24"/>
        <v>0</v>
      </c>
      <c r="CB33" s="11">
        <f t="shared" ca="1" si="25"/>
        <v>0</v>
      </c>
      <c r="CC33" s="11">
        <f t="shared" ca="1" si="26"/>
        <v>0</v>
      </c>
      <c r="CD33" s="11">
        <f t="shared" ca="1" si="27"/>
        <v>4.6655999999999996E-2</v>
      </c>
      <c r="CE33" s="11">
        <f t="shared" ca="1" si="28"/>
        <v>7.7759999999999996E-2</v>
      </c>
      <c r="CF33" s="11">
        <f t="shared" ca="1" si="29"/>
        <v>0</v>
      </c>
      <c r="CG33" s="11">
        <f t="shared" ca="1" si="30"/>
        <v>0</v>
      </c>
      <c r="CH33" s="11">
        <f t="shared" ca="1" si="31"/>
        <v>0</v>
      </c>
      <c r="CI33" s="11">
        <f t="shared" ca="1" si="32"/>
        <v>0</v>
      </c>
      <c r="CJ33" s="11">
        <f t="shared" ca="1" si="33"/>
        <v>0</v>
      </c>
      <c r="CK33" s="11">
        <f t="shared" ca="1" si="34"/>
        <v>0</v>
      </c>
      <c r="CL33" s="11">
        <f t="shared" ca="1" si="35"/>
        <v>0</v>
      </c>
      <c r="CM33" s="11">
        <f t="shared" ca="1" si="36"/>
        <v>0</v>
      </c>
      <c r="CN33" s="11">
        <f t="shared" ca="1" si="37"/>
        <v>0</v>
      </c>
    </row>
    <row r="34" spans="1:92" x14ac:dyDescent="0.3">
      <c r="A34" s="20">
        <v>9.6540159999999968</v>
      </c>
      <c r="B34">
        <v>28</v>
      </c>
      <c r="C34" t="s">
        <v>4</v>
      </c>
      <c r="D34" s="13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5">
        <v>0</v>
      </c>
      <c r="M34" s="13">
        <v>0</v>
      </c>
      <c r="N34" s="14">
        <v>0</v>
      </c>
      <c r="O34" s="14">
        <v>0</v>
      </c>
      <c r="P34" s="15">
        <v>0</v>
      </c>
      <c r="Q34" s="13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5">
        <v>0</v>
      </c>
      <c r="X34" s="13">
        <v>0</v>
      </c>
      <c r="Y34" s="14">
        <v>0</v>
      </c>
      <c r="Z34" s="14">
        <v>0</v>
      </c>
      <c r="AA34" s="14">
        <v>0</v>
      </c>
      <c r="AB34" s="14">
        <v>0</v>
      </c>
      <c r="AC34" s="15">
        <v>0</v>
      </c>
      <c r="AD34" s="13">
        <v>1</v>
      </c>
      <c r="AE34" s="14">
        <v>0</v>
      </c>
      <c r="AF34" s="14">
        <v>1</v>
      </c>
      <c r="AG34" s="14">
        <v>0</v>
      </c>
      <c r="AH34" s="14">
        <v>1</v>
      </c>
      <c r="AI34" s="14">
        <v>0</v>
      </c>
      <c r="AJ34" s="14">
        <v>1</v>
      </c>
      <c r="AK34" s="14">
        <v>1</v>
      </c>
      <c r="AL34" s="14">
        <v>0</v>
      </c>
      <c r="AM34" s="14">
        <v>0</v>
      </c>
      <c r="AN34" s="14">
        <v>0</v>
      </c>
      <c r="AO34" s="15">
        <v>0</v>
      </c>
      <c r="AP34" s="13">
        <v>0</v>
      </c>
      <c r="AQ34" s="14">
        <v>0</v>
      </c>
      <c r="AR34" s="14">
        <v>0</v>
      </c>
      <c r="AS34" s="15">
        <v>0</v>
      </c>
      <c r="AU34">
        <f t="shared" si="3"/>
        <v>5</v>
      </c>
      <c r="AW34" s="12">
        <f t="shared" ca="1" si="4"/>
        <v>7.7759999999999996E-2</v>
      </c>
      <c r="AY34" s="11">
        <f t="shared" ca="1" si="5"/>
        <v>0</v>
      </c>
      <c r="AZ34" s="11">
        <f t="shared" ca="1" si="38"/>
        <v>0</v>
      </c>
      <c r="BA34" s="11">
        <f t="shared" ca="1" si="39"/>
        <v>0</v>
      </c>
      <c r="BB34" s="11">
        <f t="shared" ca="1" si="40"/>
        <v>0</v>
      </c>
      <c r="BC34" s="11">
        <f t="shared" ca="1" si="41"/>
        <v>0</v>
      </c>
      <c r="BD34" s="11">
        <f t="shared" ca="1" si="42"/>
        <v>0</v>
      </c>
      <c r="BE34" s="11">
        <f t="shared" ca="1" si="43"/>
        <v>0</v>
      </c>
      <c r="BF34" s="11">
        <f t="shared" ca="1" si="44"/>
        <v>0</v>
      </c>
      <c r="BG34" s="11">
        <f t="shared" ca="1" si="45"/>
        <v>0</v>
      </c>
      <c r="BH34" s="11">
        <f t="shared" ca="1" si="46"/>
        <v>0</v>
      </c>
      <c r="BI34" s="11">
        <f t="shared" ca="1" si="6"/>
        <v>0</v>
      </c>
      <c r="BJ34" s="11">
        <f t="shared" ca="1" si="7"/>
        <v>0</v>
      </c>
      <c r="BK34" s="11">
        <f t="shared" ca="1" si="8"/>
        <v>0</v>
      </c>
      <c r="BL34" s="11">
        <f t="shared" ca="1" si="9"/>
        <v>0</v>
      </c>
      <c r="BM34" s="11">
        <f t="shared" ca="1" si="10"/>
        <v>0</v>
      </c>
      <c r="BN34" s="11">
        <f t="shared" ca="1" si="11"/>
        <v>0</v>
      </c>
      <c r="BO34" s="11">
        <f t="shared" ca="1" si="12"/>
        <v>0</v>
      </c>
      <c r="BP34" s="11">
        <f t="shared" ca="1" si="13"/>
        <v>0</v>
      </c>
      <c r="BQ34" s="11">
        <f t="shared" ca="1" si="14"/>
        <v>0</v>
      </c>
      <c r="BR34" s="11">
        <f t="shared" ca="1" si="15"/>
        <v>0</v>
      </c>
      <c r="BS34" s="11">
        <f t="shared" ca="1" si="16"/>
        <v>0</v>
      </c>
      <c r="BT34" s="11">
        <f t="shared" ca="1" si="17"/>
        <v>0</v>
      </c>
      <c r="BU34" s="11">
        <f t="shared" ca="1" si="18"/>
        <v>0</v>
      </c>
      <c r="BV34" s="11">
        <f t="shared" ca="1" si="19"/>
        <v>0</v>
      </c>
      <c r="BW34" s="11">
        <f t="shared" ca="1" si="20"/>
        <v>0</v>
      </c>
      <c r="BX34" s="11">
        <f t="shared" ca="1" si="21"/>
        <v>0</v>
      </c>
      <c r="BY34" s="11">
        <f t="shared" ca="1" si="22"/>
        <v>4.6655999999999996E-2</v>
      </c>
      <c r="BZ34" s="11">
        <f t="shared" ca="1" si="23"/>
        <v>0</v>
      </c>
      <c r="CA34" s="11">
        <f t="shared" ca="1" si="24"/>
        <v>2.7993599999999997E-2</v>
      </c>
      <c r="CB34" s="11">
        <f t="shared" ca="1" si="25"/>
        <v>0</v>
      </c>
      <c r="CC34" s="11">
        <f t="shared" ca="1" si="26"/>
        <v>2.7993599999999997E-2</v>
      </c>
      <c r="CD34" s="11">
        <f t="shared" ca="1" si="27"/>
        <v>0</v>
      </c>
      <c r="CE34" s="11">
        <f t="shared" ca="1" si="28"/>
        <v>7.7759999999999996E-2</v>
      </c>
      <c r="CF34" s="11">
        <f t="shared" ca="1" si="29"/>
        <v>4.6655999999999996E-2</v>
      </c>
      <c r="CG34" s="11">
        <f t="shared" ca="1" si="30"/>
        <v>0</v>
      </c>
      <c r="CH34" s="11">
        <f t="shared" ca="1" si="31"/>
        <v>0</v>
      </c>
      <c r="CI34" s="11">
        <f t="shared" ca="1" si="32"/>
        <v>0</v>
      </c>
      <c r="CJ34" s="11">
        <f t="shared" ca="1" si="33"/>
        <v>0</v>
      </c>
      <c r="CK34" s="11">
        <f t="shared" ca="1" si="34"/>
        <v>0</v>
      </c>
      <c r="CL34" s="11">
        <f t="shared" ca="1" si="35"/>
        <v>0</v>
      </c>
      <c r="CM34" s="11">
        <f t="shared" ca="1" si="36"/>
        <v>0</v>
      </c>
      <c r="CN34" s="11">
        <f t="shared" ca="1" si="37"/>
        <v>0</v>
      </c>
    </row>
    <row r="35" spans="1:92" x14ac:dyDescent="0.3">
      <c r="A35" s="20">
        <v>8.1240832000000012</v>
      </c>
      <c r="B35">
        <v>29</v>
      </c>
      <c r="C35" t="s">
        <v>4</v>
      </c>
      <c r="D35" s="13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5">
        <v>0</v>
      </c>
      <c r="M35" s="13">
        <v>0</v>
      </c>
      <c r="N35" s="14">
        <v>0</v>
      </c>
      <c r="O35" s="14">
        <v>0</v>
      </c>
      <c r="P35" s="15">
        <v>0</v>
      </c>
      <c r="Q35" s="13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5">
        <v>0</v>
      </c>
      <c r="X35" s="13">
        <v>0</v>
      </c>
      <c r="Y35" s="14">
        <v>0</v>
      </c>
      <c r="Z35" s="14">
        <v>0</v>
      </c>
      <c r="AA35" s="14">
        <v>0</v>
      </c>
      <c r="AB35" s="14">
        <v>0</v>
      </c>
      <c r="AC35" s="15">
        <v>0</v>
      </c>
      <c r="AD35" s="13">
        <v>0</v>
      </c>
      <c r="AE35" s="14">
        <v>1</v>
      </c>
      <c r="AF35" s="14">
        <v>0</v>
      </c>
      <c r="AG35" s="14">
        <v>1</v>
      </c>
      <c r="AH35" s="14">
        <v>1</v>
      </c>
      <c r="AI35" s="14">
        <v>0</v>
      </c>
      <c r="AJ35" s="14">
        <v>0</v>
      </c>
      <c r="AK35" s="14">
        <v>0</v>
      </c>
      <c r="AL35" s="14">
        <v>0</v>
      </c>
      <c r="AM35" s="14">
        <v>0</v>
      </c>
      <c r="AN35" s="14">
        <v>0</v>
      </c>
      <c r="AO35" s="15">
        <v>0</v>
      </c>
      <c r="AP35" s="13">
        <v>0</v>
      </c>
      <c r="AQ35" s="14">
        <v>0</v>
      </c>
      <c r="AR35" s="14">
        <v>0</v>
      </c>
      <c r="AS35" s="15">
        <v>0</v>
      </c>
      <c r="AU35">
        <f t="shared" si="3"/>
        <v>3</v>
      </c>
      <c r="AW35" s="12">
        <f t="shared" ca="1" si="4"/>
        <v>4.6655999999999996E-2</v>
      </c>
      <c r="AY35" s="11">
        <f t="shared" ca="1" si="5"/>
        <v>0</v>
      </c>
      <c r="AZ35" s="11">
        <f t="shared" ca="1" si="38"/>
        <v>0</v>
      </c>
      <c r="BA35" s="11">
        <f t="shared" ca="1" si="39"/>
        <v>0</v>
      </c>
      <c r="BB35" s="11">
        <f t="shared" ca="1" si="40"/>
        <v>0</v>
      </c>
      <c r="BC35" s="11">
        <f t="shared" ca="1" si="41"/>
        <v>0</v>
      </c>
      <c r="BD35" s="11">
        <f t="shared" ca="1" si="42"/>
        <v>0</v>
      </c>
      <c r="BE35" s="11">
        <f t="shared" ca="1" si="43"/>
        <v>0</v>
      </c>
      <c r="BF35" s="11">
        <f t="shared" ca="1" si="44"/>
        <v>0</v>
      </c>
      <c r="BG35" s="11">
        <f t="shared" ca="1" si="45"/>
        <v>0</v>
      </c>
      <c r="BH35" s="11">
        <f t="shared" ca="1" si="46"/>
        <v>0</v>
      </c>
      <c r="BI35" s="11">
        <f t="shared" ca="1" si="6"/>
        <v>0</v>
      </c>
      <c r="BJ35" s="11">
        <f t="shared" ca="1" si="7"/>
        <v>0</v>
      </c>
      <c r="BK35" s="11">
        <f t="shared" ca="1" si="8"/>
        <v>0</v>
      </c>
      <c r="BL35" s="11">
        <f t="shared" ca="1" si="9"/>
        <v>0</v>
      </c>
      <c r="BM35" s="11">
        <f t="shared" ca="1" si="10"/>
        <v>0</v>
      </c>
      <c r="BN35" s="11">
        <f t="shared" ca="1" si="11"/>
        <v>0</v>
      </c>
      <c r="BO35" s="11">
        <f t="shared" ca="1" si="12"/>
        <v>0</v>
      </c>
      <c r="BP35" s="11">
        <f t="shared" ca="1" si="13"/>
        <v>0</v>
      </c>
      <c r="BQ35" s="11">
        <f t="shared" ca="1" si="14"/>
        <v>0</v>
      </c>
      <c r="BR35" s="11">
        <f t="shared" ca="1" si="15"/>
        <v>0</v>
      </c>
      <c r="BS35" s="11">
        <f t="shared" ca="1" si="16"/>
        <v>0</v>
      </c>
      <c r="BT35" s="11">
        <f t="shared" ca="1" si="17"/>
        <v>0</v>
      </c>
      <c r="BU35" s="11">
        <f t="shared" ca="1" si="18"/>
        <v>0</v>
      </c>
      <c r="BV35" s="11">
        <f t="shared" ca="1" si="19"/>
        <v>0</v>
      </c>
      <c r="BW35" s="11">
        <f t="shared" ca="1" si="20"/>
        <v>0</v>
      </c>
      <c r="BX35" s="11">
        <f t="shared" ca="1" si="21"/>
        <v>0</v>
      </c>
      <c r="BY35" s="11">
        <f t="shared" ca="1" si="22"/>
        <v>0</v>
      </c>
      <c r="BZ35" s="11">
        <f t="shared" ca="1" si="23"/>
        <v>4.6655999999999996E-2</v>
      </c>
      <c r="CA35" s="11">
        <f t="shared" ca="1" si="24"/>
        <v>0</v>
      </c>
      <c r="CB35" s="11">
        <f t="shared" ca="1" si="25"/>
        <v>2.7993599999999997E-2</v>
      </c>
      <c r="CC35" s="11">
        <f t="shared" ca="1" si="26"/>
        <v>2.7993599999999997E-2</v>
      </c>
      <c r="CD35" s="11">
        <f t="shared" ca="1" si="27"/>
        <v>0</v>
      </c>
      <c r="CE35" s="11">
        <f t="shared" ca="1" si="28"/>
        <v>0</v>
      </c>
      <c r="CF35" s="11">
        <f t="shared" ca="1" si="29"/>
        <v>0</v>
      </c>
      <c r="CG35" s="11">
        <f t="shared" ca="1" si="30"/>
        <v>0</v>
      </c>
      <c r="CH35" s="11">
        <f t="shared" ca="1" si="31"/>
        <v>0</v>
      </c>
      <c r="CI35" s="11">
        <f t="shared" ca="1" si="32"/>
        <v>0</v>
      </c>
      <c r="CJ35" s="11">
        <f t="shared" ca="1" si="33"/>
        <v>0</v>
      </c>
      <c r="CK35" s="11">
        <f t="shared" ca="1" si="34"/>
        <v>0</v>
      </c>
      <c r="CL35" s="11">
        <f t="shared" ca="1" si="35"/>
        <v>0</v>
      </c>
      <c r="CM35" s="11">
        <f t="shared" ca="1" si="36"/>
        <v>0</v>
      </c>
      <c r="CN35" s="11">
        <f t="shared" ca="1" si="37"/>
        <v>0</v>
      </c>
    </row>
    <row r="36" spans="1:92" x14ac:dyDescent="0.3">
      <c r="A36" s="20">
        <v>8.9602815999999983</v>
      </c>
      <c r="B36">
        <v>30</v>
      </c>
      <c r="C36" t="s">
        <v>4</v>
      </c>
      <c r="D36" s="13">
        <v>1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5">
        <v>0</v>
      </c>
      <c r="M36" s="13">
        <v>0</v>
      </c>
      <c r="N36" s="14">
        <v>0</v>
      </c>
      <c r="O36" s="14">
        <v>0</v>
      </c>
      <c r="P36" s="15">
        <v>0</v>
      </c>
      <c r="Q36" s="13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5">
        <v>0</v>
      </c>
      <c r="X36" s="13">
        <v>0</v>
      </c>
      <c r="Y36" s="14">
        <v>0</v>
      </c>
      <c r="Z36" s="14">
        <v>0</v>
      </c>
      <c r="AA36" s="14">
        <v>0</v>
      </c>
      <c r="AB36" s="14">
        <v>0</v>
      </c>
      <c r="AC36" s="15">
        <v>0</v>
      </c>
      <c r="AD36" s="13">
        <v>0</v>
      </c>
      <c r="AE36" s="14">
        <v>0</v>
      </c>
      <c r="AF36" s="14">
        <v>1</v>
      </c>
      <c r="AG36" s="14">
        <v>0</v>
      </c>
      <c r="AH36" s="14">
        <v>1</v>
      </c>
      <c r="AI36" s="14">
        <v>0</v>
      </c>
      <c r="AJ36" s="14">
        <v>0</v>
      </c>
      <c r="AK36" s="14">
        <v>1</v>
      </c>
      <c r="AL36" s="14">
        <v>1</v>
      </c>
      <c r="AM36" s="14">
        <v>0</v>
      </c>
      <c r="AN36" s="14">
        <v>0</v>
      </c>
      <c r="AO36" s="15">
        <v>0</v>
      </c>
      <c r="AP36" s="13">
        <v>0</v>
      </c>
      <c r="AQ36" s="14">
        <v>0</v>
      </c>
      <c r="AR36" s="14">
        <v>0</v>
      </c>
      <c r="AS36" s="15">
        <v>0</v>
      </c>
      <c r="AU36">
        <f t="shared" si="3"/>
        <v>5</v>
      </c>
      <c r="AW36" s="12">
        <f t="shared" ca="1" si="4"/>
        <v>4.6655999999999996E-2</v>
      </c>
      <c r="AY36" s="11">
        <f t="shared" ca="1" si="5"/>
        <v>1.6796159999999997E-2</v>
      </c>
      <c r="AZ36" s="11">
        <f t="shared" ca="1" si="38"/>
        <v>0</v>
      </c>
      <c r="BA36" s="11">
        <f t="shared" ca="1" si="39"/>
        <v>0</v>
      </c>
      <c r="BB36" s="11">
        <f t="shared" ca="1" si="40"/>
        <v>0</v>
      </c>
      <c r="BC36" s="11">
        <f t="shared" ca="1" si="41"/>
        <v>0</v>
      </c>
      <c r="BD36" s="11">
        <f t="shared" ca="1" si="42"/>
        <v>0</v>
      </c>
      <c r="BE36" s="11">
        <f t="shared" ca="1" si="43"/>
        <v>0</v>
      </c>
      <c r="BF36" s="11">
        <f t="shared" ca="1" si="44"/>
        <v>0</v>
      </c>
      <c r="BG36" s="11">
        <f t="shared" ca="1" si="45"/>
        <v>0</v>
      </c>
      <c r="BH36" s="11">
        <f t="shared" ca="1" si="46"/>
        <v>0</v>
      </c>
      <c r="BI36" s="11">
        <f t="shared" ca="1" si="6"/>
        <v>0</v>
      </c>
      <c r="BJ36" s="11">
        <f t="shared" ca="1" si="7"/>
        <v>0</v>
      </c>
      <c r="BK36" s="11">
        <f t="shared" ca="1" si="8"/>
        <v>0</v>
      </c>
      <c r="BL36" s="11">
        <f t="shared" ca="1" si="9"/>
        <v>0</v>
      </c>
      <c r="BM36" s="11">
        <f t="shared" ca="1" si="10"/>
        <v>0</v>
      </c>
      <c r="BN36" s="11">
        <f t="shared" ca="1" si="11"/>
        <v>0</v>
      </c>
      <c r="BO36" s="11">
        <f t="shared" ca="1" si="12"/>
        <v>0</v>
      </c>
      <c r="BP36" s="11">
        <f t="shared" ca="1" si="13"/>
        <v>0</v>
      </c>
      <c r="BQ36" s="11">
        <f t="shared" ca="1" si="14"/>
        <v>0</v>
      </c>
      <c r="BR36" s="11">
        <f t="shared" ca="1" si="15"/>
        <v>0</v>
      </c>
      <c r="BS36" s="11">
        <f t="shared" ca="1" si="16"/>
        <v>0</v>
      </c>
      <c r="BT36" s="11">
        <f t="shared" ca="1" si="17"/>
        <v>0</v>
      </c>
      <c r="BU36" s="11">
        <f t="shared" ca="1" si="18"/>
        <v>0</v>
      </c>
      <c r="BV36" s="11">
        <f t="shared" ca="1" si="19"/>
        <v>0</v>
      </c>
      <c r="BW36" s="11">
        <f t="shared" ca="1" si="20"/>
        <v>0</v>
      </c>
      <c r="BX36" s="11">
        <f t="shared" ca="1" si="21"/>
        <v>0</v>
      </c>
      <c r="BY36" s="11">
        <f t="shared" ca="1" si="22"/>
        <v>0</v>
      </c>
      <c r="BZ36" s="11">
        <f t="shared" ca="1" si="23"/>
        <v>0</v>
      </c>
      <c r="CA36" s="11">
        <f t="shared" ca="1" si="24"/>
        <v>2.7993599999999997E-2</v>
      </c>
      <c r="CB36" s="11">
        <f t="shared" ca="1" si="25"/>
        <v>0</v>
      </c>
      <c r="CC36" s="11">
        <f t="shared" ca="1" si="26"/>
        <v>2.7993599999999997E-2</v>
      </c>
      <c r="CD36" s="11">
        <f t="shared" ca="1" si="27"/>
        <v>0</v>
      </c>
      <c r="CE36" s="11">
        <f t="shared" ca="1" si="28"/>
        <v>0</v>
      </c>
      <c r="CF36" s="11">
        <f t="shared" ca="1" si="29"/>
        <v>4.6655999999999996E-2</v>
      </c>
      <c r="CG36" s="11">
        <f t="shared" ca="1" si="30"/>
        <v>2.7993599999999997E-2</v>
      </c>
      <c r="CH36" s="11">
        <f t="shared" ca="1" si="31"/>
        <v>0</v>
      </c>
      <c r="CI36" s="11">
        <f t="shared" ca="1" si="32"/>
        <v>0</v>
      </c>
      <c r="CJ36" s="11">
        <f t="shared" ca="1" si="33"/>
        <v>0</v>
      </c>
      <c r="CK36" s="11">
        <f t="shared" ca="1" si="34"/>
        <v>0</v>
      </c>
      <c r="CL36" s="11">
        <f t="shared" ca="1" si="35"/>
        <v>0</v>
      </c>
      <c r="CM36" s="11">
        <f t="shared" ca="1" si="36"/>
        <v>0</v>
      </c>
      <c r="CN36" s="11">
        <f t="shared" ca="1" si="37"/>
        <v>0</v>
      </c>
    </row>
    <row r="37" spans="1:92" x14ac:dyDescent="0.3">
      <c r="A37" s="20">
        <v>8.3640831999999996</v>
      </c>
      <c r="B37">
        <v>31</v>
      </c>
      <c r="C37" t="s">
        <v>4</v>
      </c>
      <c r="D37" s="13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5">
        <v>0</v>
      </c>
      <c r="M37" s="13">
        <v>0</v>
      </c>
      <c r="N37" s="14">
        <v>0</v>
      </c>
      <c r="O37" s="14">
        <v>0</v>
      </c>
      <c r="P37" s="15">
        <v>0</v>
      </c>
      <c r="Q37" s="13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5">
        <v>0</v>
      </c>
      <c r="X37" s="13">
        <v>0</v>
      </c>
      <c r="Y37" s="14">
        <v>0</v>
      </c>
      <c r="Z37" s="14">
        <v>0</v>
      </c>
      <c r="AA37" s="14">
        <v>0</v>
      </c>
      <c r="AB37" s="14">
        <v>0</v>
      </c>
      <c r="AC37" s="15">
        <v>0</v>
      </c>
      <c r="AD37" s="13">
        <v>0</v>
      </c>
      <c r="AE37" s="14">
        <v>1</v>
      </c>
      <c r="AF37" s="14">
        <v>1</v>
      </c>
      <c r="AG37" s="14">
        <v>1</v>
      </c>
      <c r="AH37" s="14">
        <v>0</v>
      </c>
      <c r="AI37" s="14">
        <v>0</v>
      </c>
      <c r="AJ37" s="14">
        <v>0</v>
      </c>
      <c r="AK37" s="14">
        <v>1</v>
      </c>
      <c r="AL37" s="14">
        <v>0</v>
      </c>
      <c r="AM37" s="14">
        <v>0</v>
      </c>
      <c r="AN37" s="14">
        <v>0</v>
      </c>
      <c r="AO37" s="15">
        <v>0</v>
      </c>
      <c r="AP37" s="13">
        <v>0</v>
      </c>
      <c r="AQ37" s="14">
        <v>0</v>
      </c>
      <c r="AR37" s="14">
        <v>0</v>
      </c>
      <c r="AS37" s="15">
        <v>0</v>
      </c>
      <c r="AU37">
        <f t="shared" si="3"/>
        <v>4</v>
      </c>
      <c r="AW37" s="12">
        <f t="shared" ca="1" si="4"/>
        <v>4.6655999999999996E-2</v>
      </c>
      <c r="AY37" s="11">
        <f t="shared" ca="1" si="5"/>
        <v>0</v>
      </c>
      <c r="AZ37" s="11">
        <f t="shared" ca="1" si="38"/>
        <v>0</v>
      </c>
      <c r="BA37" s="11">
        <f t="shared" ca="1" si="39"/>
        <v>0</v>
      </c>
      <c r="BB37" s="11">
        <f t="shared" ca="1" si="40"/>
        <v>0</v>
      </c>
      <c r="BC37" s="11">
        <f t="shared" ca="1" si="41"/>
        <v>0</v>
      </c>
      <c r="BD37" s="11">
        <f t="shared" ca="1" si="42"/>
        <v>0</v>
      </c>
      <c r="BE37" s="11">
        <f t="shared" ca="1" si="43"/>
        <v>0</v>
      </c>
      <c r="BF37" s="11">
        <f t="shared" ca="1" si="44"/>
        <v>0</v>
      </c>
      <c r="BG37" s="11">
        <f t="shared" ca="1" si="45"/>
        <v>0</v>
      </c>
      <c r="BH37" s="11">
        <f t="shared" ca="1" si="46"/>
        <v>0</v>
      </c>
      <c r="BI37" s="11">
        <f t="shared" ca="1" si="6"/>
        <v>0</v>
      </c>
      <c r="BJ37" s="11">
        <f t="shared" ca="1" si="7"/>
        <v>0</v>
      </c>
      <c r="BK37" s="11">
        <f t="shared" ca="1" si="8"/>
        <v>0</v>
      </c>
      <c r="BL37" s="11">
        <f t="shared" ca="1" si="9"/>
        <v>0</v>
      </c>
      <c r="BM37" s="11">
        <f t="shared" ca="1" si="10"/>
        <v>0</v>
      </c>
      <c r="BN37" s="11">
        <f t="shared" ca="1" si="11"/>
        <v>0</v>
      </c>
      <c r="BO37" s="11">
        <f t="shared" ca="1" si="12"/>
        <v>0</v>
      </c>
      <c r="BP37" s="11">
        <f t="shared" ca="1" si="13"/>
        <v>0</v>
      </c>
      <c r="BQ37" s="11">
        <f t="shared" ca="1" si="14"/>
        <v>0</v>
      </c>
      <c r="BR37" s="11">
        <f t="shared" ca="1" si="15"/>
        <v>0</v>
      </c>
      <c r="BS37" s="11">
        <f t="shared" ca="1" si="16"/>
        <v>0</v>
      </c>
      <c r="BT37" s="11">
        <f t="shared" ca="1" si="17"/>
        <v>0</v>
      </c>
      <c r="BU37" s="11">
        <f t="shared" ca="1" si="18"/>
        <v>0</v>
      </c>
      <c r="BV37" s="11">
        <f t="shared" ca="1" si="19"/>
        <v>0</v>
      </c>
      <c r="BW37" s="11">
        <f t="shared" ca="1" si="20"/>
        <v>0</v>
      </c>
      <c r="BX37" s="11">
        <f t="shared" ca="1" si="21"/>
        <v>0</v>
      </c>
      <c r="BY37" s="11">
        <f t="shared" ca="1" si="22"/>
        <v>0</v>
      </c>
      <c r="BZ37" s="11">
        <f t="shared" ca="1" si="23"/>
        <v>4.6655999999999996E-2</v>
      </c>
      <c r="CA37" s="11">
        <f t="shared" ca="1" si="24"/>
        <v>2.7993599999999997E-2</v>
      </c>
      <c r="CB37" s="11">
        <f t="shared" ca="1" si="25"/>
        <v>2.7993599999999997E-2</v>
      </c>
      <c r="CC37" s="11">
        <f t="shared" ca="1" si="26"/>
        <v>0</v>
      </c>
      <c r="CD37" s="11">
        <f t="shared" ca="1" si="27"/>
        <v>0</v>
      </c>
      <c r="CE37" s="11">
        <f t="shared" ca="1" si="28"/>
        <v>0</v>
      </c>
      <c r="CF37" s="11">
        <f t="shared" ca="1" si="29"/>
        <v>4.6655999999999996E-2</v>
      </c>
      <c r="CG37" s="11">
        <f t="shared" ca="1" si="30"/>
        <v>0</v>
      </c>
      <c r="CH37" s="11">
        <f t="shared" ca="1" si="31"/>
        <v>0</v>
      </c>
      <c r="CI37" s="11">
        <f t="shared" ca="1" si="32"/>
        <v>0</v>
      </c>
      <c r="CJ37" s="11">
        <f t="shared" ca="1" si="33"/>
        <v>0</v>
      </c>
      <c r="CK37" s="11">
        <f t="shared" ca="1" si="34"/>
        <v>0</v>
      </c>
      <c r="CL37" s="11">
        <f t="shared" ca="1" si="35"/>
        <v>0</v>
      </c>
      <c r="CM37" s="11">
        <f t="shared" ca="1" si="36"/>
        <v>0</v>
      </c>
      <c r="CN37" s="11">
        <f t="shared" ca="1" si="37"/>
        <v>0</v>
      </c>
    </row>
    <row r="38" spans="1:92" x14ac:dyDescent="0.3">
      <c r="A38" s="20">
        <v>10.882047999999998</v>
      </c>
      <c r="B38">
        <v>32</v>
      </c>
      <c r="C38" t="s">
        <v>4</v>
      </c>
      <c r="D38" s="13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5">
        <v>0</v>
      </c>
      <c r="M38" s="13">
        <v>0</v>
      </c>
      <c r="N38" s="14">
        <v>0</v>
      </c>
      <c r="O38" s="14">
        <v>0</v>
      </c>
      <c r="P38" s="15">
        <v>0</v>
      </c>
      <c r="Q38" s="13">
        <v>0</v>
      </c>
      <c r="R38" s="14">
        <v>0</v>
      </c>
      <c r="S38" s="14">
        <v>0</v>
      </c>
      <c r="T38" s="14">
        <v>1</v>
      </c>
      <c r="U38" s="14">
        <v>0</v>
      </c>
      <c r="V38" s="14">
        <v>0</v>
      </c>
      <c r="W38" s="15">
        <v>0</v>
      </c>
      <c r="X38" s="13">
        <v>0</v>
      </c>
      <c r="Y38" s="14">
        <v>0</v>
      </c>
      <c r="Z38" s="14">
        <v>0</v>
      </c>
      <c r="AA38" s="14">
        <v>0</v>
      </c>
      <c r="AB38" s="14">
        <v>0</v>
      </c>
      <c r="AC38" s="15">
        <v>0</v>
      </c>
      <c r="AD38" s="13">
        <v>1</v>
      </c>
      <c r="AE38" s="14">
        <v>0</v>
      </c>
      <c r="AF38" s="14">
        <v>0</v>
      </c>
      <c r="AG38" s="14">
        <v>0</v>
      </c>
      <c r="AH38" s="14">
        <v>0</v>
      </c>
      <c r="AI38" s="14">
        <v>0</v>
      </c>
      <c r="AJ38" s="14">
        <v>1</v>
      </c>
      <c r="AK38" s="14">
        <v>0</v>
      </c>
      <c r="AL38" s="14">
        <v>0</v>
      </c>
      <c r="AM38" s="14">
        <v>1</v>
      </c>
      <c r="AN38" s="14">
        <v>1</v>
      </c>
      <c r="AO38" s="15">
        <v>0</v>
      </c>
      <c r="AP38" s="13">
        <v>0</v>
      </c>
      <c r="AQ38" s="14">
        <v>0</v>
      </c>
      <c r="AR38" s="14">
        <v>0</v>
      </c>
      <c r="AS38" s="15">
        <v>0</v>
      </c>
      <c r="AU38">
        <f t="shared" si="3"/>
        <v>5</v>
      </c>
      <c r="AW38" s="12">
        <f t="shared" ca="1" si="4"/>
        <v>7.7759999999999996E-2</v>
      </c>
      <c r="AY38" s="11">
        <f t="shared" ca="1" si="5"/>
        <v>0</v>
      </c>
      <c r="AZ38" s="11">
        <f t="shared" ca="1" si="38"/>
        <v>0</v>
      </c>
      <c r="BA38" s="11">
        <f t="shared" ca="1" si="39"/>
        <v>0</v>
      </c>
      <c r="BB38" s="11">
        <f t="shared" ca="1" si="40"/>
        <v>0</v>
      </c>
      <c r="BC38" s="11">
        <f t="shared" ca="1" si="41"/>
        <v>0</v>
      </c>
      <c r="BD38" s="11">
        <f t="shared" ca="1" si="42"/>
        <v>0</v>
      </c>
      <c r="BE38" s="11">
        <f t="shared" ca="1" si="43"/>
        <v>0</v>
      </c>
      <c r="BF38" s="11">
        <f t="shared" ca="1" si="44"/>
        <v>0</v>
      </c>
      <c r="BG38" s="11">
        <f t="shared" ca="1" si="45"/>
        <v>0</v>
      </c>
      <c r="BH38" s="11">
        <f t="shared" ca="1" si="46"/>
        <v>0</v>
      </c>
      <c r="BI38" s="11">
        <f t="shared" ca="1" si="6"/>
        <v>0</v>
      </c>
      <c r="BJ38" s="11">
        <f t="shared" ca="1" si="7"/>
        <v>0</v>
      </c>
      <c r="BK38" s="11">
        <f t="shared" ca="1" si="8"/>
        <v>0</v>
      </c>
      <c r="BL38" s="11">
        <f t="shared" ca="1" si="9"/>
        <v>0</v>
      </c>
      <c r="BM38" s="11">
        <f t="shared" ca="1" si="10"/>
        <v>0</v>
      </c>
      <c r="BN38" s="11">
        <f t="shared" ca="1" si="11"/>
        <v>0</v>
      </c>
      <c r="BO38" s="11">
        <f t="shared" ca="1" si="12"/>
        <v>2.7993599999999997E-2</v>
      </c>
      <c r="BP38" s="11">
        <f t="shared" ca="1" si="13"/>
        <v>0</v>
      </c>
      <c r="BQ38" s="11">
        <f t="shared" ca="1" si="14"/>
        <v>0</v>
      </c>
      <c r="BR38" s="11">
        <f t="shared" ca="1" si="15"/>
        <v>0</v>
      </c>
      <c r="BS38" s="11">
        <f t="shared" ca="1" si="16"/>
        <v>0</v>
      </c>
      <c r="BT38" s="11">
        <f t="shared" ca="1" si="17"/>
        <v>0</v>
      </c>
      <c r="BU38" s="11">
        <f t="shared" ca="1" si="18"/>
        <v>0</v>
      </c>
      <c r="BV38" s="11">
        <f t="shared" ca="1" si="19"/>
        <v>0</v>
      </c>
      <c r="BW38" s="11">
        <f t="shared" ca="1" si="20"/>
        <v>0</v>
      </c>
      <c r="BX38" s="11">
        <f t="shared" ca="1" si="21"/>
        <v>0</v>
      </c>
      <c r="BY38" s="11">
        <f t="shared" ca="1" si="22"/>
        <v>4.6655999999999996E-2</v>
      </c>
      <c r="BZ38" s="11">
        <f t="shared" ca="1" si="23"/>
        <v>0</v>
      </c>
      <c r="CA38" s="11">
        <f t="shared" ca="1" si="24"/>
        <v>0</v>
      </c>
      <c r="CB38" s="11">
        <f t="shared" ca="1" si="25"/>
        <v>0</v>
      </c>
      <c r="CC38" s="11">
        <f t="shared" ca="1" si="26"/>
        <v>0</v>
      </c>
      <c r="CD38" s="11">
        <f t="shared" ca="1" si="27"/>
        <v>0</v>
      </c>
      <c r="CE38" s="11">
        <f t="shared" ca="1" si="28"/>
        <v>7.7759999999999996E-2</v>
      </c>
      <c r="CF38" s="11">
        <f t="shared" ca="1" si="29"/>
        <v>0</v>
      </c>
      <c r="CG38" s="11">
        <f t="shared" ca="1" si="30"/>
        <v>0</v>
      </c>
      <c r="CH38" s="11">
        <f t="shared" ca="1" si="31"/>
        <v>4.6655999999999996E-2</v>
      </c>
      <c r="CI38" s="11">
        <f t="shared" ca="1" si="32"/>
        <v>7.7759999999999996E-2</v>
      </c>
      <c r="CJ38" s="11">
        <f t="shared" ca="1" si="33"/>
        <v>0</v>
      </c>
      <c r="CK38" s="11">
        <f t="shared" ca="1" si="34"/>
        <v>0</v>
      </c>
      <c r="CL38" s="11">
        <f t="shared" ca="1" si="35"/>
        <v>0</v>
      </c>
      <c r="CM38" s="11">
        <f t="shared" ca="1" si="36"/>
        <v>0</v>
      </c>
      <c r="CN38" s="11">
        <f t="shared" ca="1" si="37"/>
        <v>0</v>
      </c>
    </row>
    <row r="39" spans="1:92" x14ac:dyDescent="0.3">
      <c r="A39" s="20">
        <v>10.734975999999996</v>
      </c>
      <c r="B39">
        <v>33</v>
      </c>
      <c r="C39" t="s">
        <v>4</v>
      </c>
      <c r="D39" s="13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5">
        <v>0</v>
      </c>
      <c r="M39" s="13">
        <v>0</v>
      </c>
      <c r="N39" s="14">
        <v>0</v>
      </c>
      <c r="O39" s="14">
        <v>0</v>
      </c>
      <c r="P39" s="15">
        <v>0</v>
      </c>
      <c r="Q39" s="13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5">
        <v>0</v>
      </c>
      <c r="X39" s="13">
        <v>0</v>
      </c>
      <c r="Y39" s="14">
        <v>0</v>
      </c>
      <c r="Z39" s="14">
        <v>0</v>
      </c>
      <c r="AA39" s="14">
        <v>0</v>
      </c>
      <c r="AB39" s="14">
        <v>0</v>
      </c>
      <c r="AC39" s="15">
        <v>0</v>
      </c>
      <c r="AD39" s="13">
        <v>1</v>
      </c>
      <c r="AE39" s="14">
        <v>1</v>
      </c>
      <c r="AF39" s="14">
        <v>0</v>
      </c>
      <c r="AG39" s="14">
        <v>0</v>
      </c>
      <c r="AH39" s="14">
        <v>0</v>
      </c>
      <c r="AI39" s="14">
        <v>1</v>
      </c>
      <c r="AJ39" s="14">
        <v>0</v>
      </c>
      <c r="AK39" s="14">
        <v>1</v>
      </c>
      <c r="AL39" s="14">
        <v>0</v>
      </c>
      <c r="AM39" s="14">
        <v>0</v>
      </c>
      <c r="AN39" s="14">
        <v>1</v>
      </c>
      <c r="AO39" s="15">
        <v>1</v>
      </c>
      <c r="AP39" s="13">
        <v>0</v>
      </c>
      <c r="AQ39" s="14">
        <v>0</v>
      </c>
      <c r="AR39" s="14">
        <v>0</v>
      </c>
      <c r="AS39" s="15">
        <v>0</v>
      </c>
      <c r="AU39">
        <f t="shared" si="3"/>
        <v>6</v>
      </c>
      <c r="AW39" s="12">
        <f t="shared" ca="1" si="4"/>
        <v>0.12959999999999999</v>
      </c>
      <c r="AY39" s="11">
        <f t="shared" ca="1" si="5"/>
        <v>0</v>
      </c>
      <c r="AZ39" s="11">
        <f t="shared" ca="1" si="38"/>
        <v>0</v>
      </c>
      <c r="BA39" s="11">
        <f t="shared" ca="1" si="39"/>
        <v>0</v>
      </c>
      <c r="BB39" s="11">
        <f t="shared" ca="1" si="40"/>
        <v>0</v>
      </c>
      <c r="BC39" s="11">
        <f t="shared" ca="1" si="41"/>
        <v>0</v>
      </c>
      <c r="BD39" s="11">
        <f t="shared" ca="1" si="42"/>
        <v>0</v>
      </c>
      <c r="BE39" s="11">
        <f t="shared" ca="1" si="43"/>
        <v>0</v>
      </c>
      <c r="BF39" s="11">
        <f t="shared" ca="1" si="44"/>
        <v>0</v>
      </c>
      <c r="BG39" s="11">
        <f t="shared" ca="1" si="45"/>
        <v>0</v>
      </c>
      <c r="BH39" s="11">
        <f t="shared" ca="1" si="46"/>
        <v>0</v>
      </c>
      <c r="BI39" s="11">
        <f t="shared" ca="1" si="6"/>
        <v>0</v>
      </c>
      <c r="BJ39" s="11">
        <f t="shared" ca="1" si="7"/>
        <v>0</v>
      </c>
      <c r="BK39" s="11">
        <f t="shared" ca="1" si="8"/>
        <v>0</v>
      </c>
      <c r="BL39" s="11">
        <f t="shared" ca="1" si="9"/>
        <v>0</v>
      </c>
      <c r="BM39" s="11">
        <f t="shared" ca="1" si="10"/>
        <v>0</v>
      </c>
      <c r="BN39" s="11">
        <f t="shared" ca="1" si="11"/>
        <v>0</v>
      </c>
      <c r="BO39" s="11">
        <f t="shared" ca="1" si="12"/>
        <v>0</v>
      </c>
      <c r="BP39" s="11">
        <f t="shared" ca="1" si="13"/>
        <v>0</v>
      </c>
      <c r="BQ39" s="11">
        <f t="shared" ca="1" si="14"/>
        <v>0</v>
      </c>
      <c r="BR39" s="11">
        <f t="shared" ca="1" si="15"/>
        <v>0</v>
      </c>
      <c r="BS39" s="11">
        <f t="shared" ca="1" si="16"/>
        <v>0</v>
      </c>
      <c r="BT39" s="11">
        <f t="shared" ca="1" si="17"/>
        <v>0</v>
      </c>
      <c r="BU39" s="11">
        <f t="shared" ca="1" si="18"/>
        <v>0</v>
      </c>
      <c r="BV39" s="11">
        <f t="shared" ca="1" si="19"/>
        <v>0</v>
      </c>
      <c r="BW39" s="11">
        <f t="shared" ca="1" si="20"/>
        <v>0</v>
      </c>
      <c r="BX39" s="11">
        <f t="shared" ca="1" si="21"/>
        <v>0</v>
      </c>
      <c r="BY39" s="11">
        <f t="shared" ca="1" si="22"/>
        <v>4.6655999999999996E-2</v>
      </c>
      <c r="BZ39" s="11">
        <f t="shared" ca="1" si="23"/>
        <v>4.6655999999999996E-2</v>
      </c>
      <c r="CA39" s="11">
        <f t="shared" ca="1" si="24"/>
        <v>0</v>
      </c>
      <c r="CB39" s="11">
        <f t="shared" ca="1" si="25"/>
        <v>0</v>
      </c>
      <c r="CC39" s="11">
        <f t="shared" ca="1" si="26"/>
        <v>0</v>
      </c>
      <c r="CD39" s="11">
        <f t="shared" ca="1" si="27"/>
        <v>4.6655999999999996E-2</v>
      </c>
      <c r="CE39" s="11">
        <f t="shared" ca="1" si="28"/>
        <v>0</v>
      </c>
      <c r="CF39" s="11">
        <f t="shared" ca="1" si="29"/>
        <v>4.6655999999999996E-2</v>
      </c>
      <c r="CG39" s="11">
        <f t="shared" ca="1" si="30"/>
        <v>0</v>
      </c>
      <c r="CH39" s="11">
        <f t="shared" ca="1" si="31"/>
        <v>0</v>
      </c>
      <c r="CI39" s="11">
        <f t="shared" ca="1" si="32"/>
        <v>7.7759999999999996E-2</v>
      </c>
      <c r="CJ39" s="11">
        <f t="shared" ca="1" si="33"/>
        <v>0.12959999999999999</v>
      </c>
      <c r="CK39" s="11">
        <f t="shared" ca="1" si="34"/>
        <v>0</v>
      </c>
      <c r="CL39" s="11">
        <f t="shared" ca="1" si="35"/>
        <v>0</v>
      </c>
      <c r="CM39" s="11">
        <f t="shared" ca="1" si="36"/>
        <v>0</v>
      </c>
      <c r="CN39" s="11">
        <f t="shared" ca="1" si="37"/>
        <v>0</v>
      </c>
    </row>
    <row r="40" spans="1:92" x14ac:dyDescent="0.3">
      <c r="A40" s="20">
        <v>9.5406591999999968</v>
      </c>
      <c r="B40">
        <v>34</v>
      </c>
      <c r="C40" t="s">
        <v>4</v>
      </c>
      <c r="D40" s="13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5">
        <v>0</v>
      </c>
      <c r="M40" s="13">
        <v>0</v>
      </c>
      <c r="N40" s="14">
        <v>0</v>
      </c>
      <c r="O40" s="14">
        <v>0</v>
      </c>
      <c r="P40" s="15">
        <v>0</v>
      </c>
      <c r="Q40" s="13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5">
        <v>0</v>
      </c>
      <c r="X40" s="13">
        <v>0</v>
      </c>
      <c r="Y40" s="14">
        <v>0</v>
      </c>
      <c r="Z40" s="14">
        <v>0</v>
      </c>
      <c r="AA40" s="14">
        <v>0</v>
      </c>
      <c r="AB40" s="14">
        <v>0</v>
      </c>
      <c r="AC40" s="15">
        <v>0</v>
      </c>
      <c r="AD40" s="13">
        <v>0</v>
      </c>
      <c r="AE40" s="14">
        <v>1</v>
      </c>
      <c r="AF40" s="14">
        <v>0</v>
      </c>
      <c r="AG40" s="14">
        <v>1</v>
      </c>
      <c r="AH40" s="14">
        <v>1</v>
      </c>
      <c r="AI40" s="14">
        <v>0</v>
      </c>
      <c r="AJ40" s="14">
        <v>1</v>
      </c>
      <c r="AK40" s="14">
        <v>0</v>
      </c>
      <c r="AL40" s="14">
        <v>1</v>
      </c>
      <c r="AM40" s="14">
        <v>0</v>
      </c>
      <c r="AN40" s="14">
        <v>0</v>
      </c>
      <c r="AO40" s="15">
        <v>0</v>
      </c>
      <c r="AP40" s="13">
        <v>0</v>
      </c>
      <c r="AQ40" s="14">
        <v>0</v>
      </c>
      <c r="AR40" s="14">
        <v>0</v>
      </c>
      <c r="AS40" s="15">
        <v>0</v>
      </c>
      <c r="AU40">
        <f t="shared" si="3"/>
        <v>5</v>
      </c>
      <c r="AW40" s="12">
        <f t="shared" ca="1" si="4"/>
        <v>7.7759999999999996E-2</v>
      </c>
      <c r="AY40" s="11">
        <f t="shared" ca="1" si="5"/>
        <v>0</v>
      </c>
      <c r="AZ40" s="11">
        <f t="shared" ca="1" si="38"/>
        <v>0</v>
      </c>
      <c r="BA40" s="11">
        <f t="shared" ca="1" si="39"/>
        <v>0</v>
      </c>
      <c r="BB40" s="11">
        <f t="shared" ca="1" si="40"/>
        <v>0</v>
      </c>
      <c r="BC40" s="11">
        <f t="shared" ca="1" si="41"/>
        <v>0</v>
      </c>
      <c r="BD40" s="11">
        <f t="shared" ca="1" si="42"/>
        <v>0</v>
      </c>
      <c r="BE40" s="11">
        <f t="shared" ca="1" si="43"/>
        <v>0</v>
      </c>
      <c r="BF40" s="11">
        <f t="shared" ca="1" si="44"/>
        <v>0</v>
      </c>
      <c r="BG40" s="11">
        <f t="shared" ca="1" si="45"/>
        <v>0</v>
      </c>
      <c r="BH40" s="11">
        <f t="shared" ca="1" si="46"/>
        <v>0</v>
      </c>
      <c r="BI40" s="11">
        <f t="shared" ca="1" si="6"/>
        <v>0</v>
      </c>
      <c r="BJ40" s="11">
        <f t="shared" ca="1" si="7"/>
        <v>0</v>
      </c>
      <c r="BK40" s="11">
        <f t="shared" ca="1" si="8"/>
        <v>0</v>
      </c>
      <c r="BL40" s="11">
        <f t="shared" ca="1" si="9"/>
        <v>0</v>
      </c>
      <c r="BM40" s="11">
        <f t="shared" ca="1" si="10"/>
        <v>0</v>
      </c>
      <c r="BN40" s="11">
        <f t="shared" ca="1" si="11"/>
        <v>0</v>
      </c>
      <c r="BO40" s="11">
        <f t="shared" ca="1" si="12"/>
        <v>0</v>
      </c>
      <c r="BP40" s="11">
        <f t="shared" ca="1" si="13"/>
        <v>0</v>
      </c>
      <c r="BQ40" s="11">
        <f t="shared" ca="1" si="14"/>
        <v>0</v>
      </c>
      <c r="BR40" s="11">
        <f t="shared" ca="1" si="15"/>
        <v>0</v>
      </c>
      <c r="BS40" s="11">
        <f t="shared" ca="1" si="16"/>
        <v>0</v>
      </c>
      <c r="BT40" s="11">
        <f t="shared" ca="1" si="17"/>
        <v>0</v>
      </c>
      <c r="BU40" s="11">
        <f t="shared" ca="1" si="18"/>
        <v>0</v>
      </c>
      <c r="BV40" s="11">
        <f t="shared" ca="1" si="19"/>
        <v>0</v>
      </c>
      <c r="BW40" s="11">
        <f t="shared" ca="1" si="20"/>
        <v>0</v>
      </c>
      <c r="BX40" s="11">
        <f t="shared" ca="1" si="21"/>
        <v>0</v>
      </c>
      <c r="BY40" s="11">
        <f t="shared" ca="1" si="22"/>
        <v>0</v>
      </c>
      <c r="BZ40" s="11">
        <f t="shared" ca="1" si="23"/>
        <v>4.6655999999999996E-2</v>
      </c>
      <c r="CA40" s="11">
        <f t="shared" ca="1" si="24"/>
        <v>0</v>
      </c>
      <c r="CB40" s="11">
        <f t="shared" ca="1" si="25"/>
        <v>2.7993599999999997E-2</v>
      </c>
      <c r="CC40" s="11">
        <f t="shared" ca="1" si="26"/>
        <v>2.7993599999999997E-2</v>
      </c>
      <c r="CD40" s="11">
        <f t="shared" ca="1" si="27"/>
        <v>0</v>
      </c>
      <c r="CE40" s="11">
        <f t="shared" ca="1" si="28"/>
        <v>7.7759999999999996E-2</v>
      </c>
      <c r="CF40" s="11">
        <f t="shared" ca="1" si="29"/>
        <v>0</v>
      </c>
      <c r="CG40" s="11">
        <f t="shared" ca="1" si="30"/>
        <v>2.7993599999999997E-2</v>
      </c>
      <c r="CH40" s="11">
        <f t="shared" ca="1" si="31"/>
        <v>0</v>
      </c>
      <c r="CI40" s="11">
        <f t="shared" ca="1" si="32"/>
        <v>0</v>
      </c>
      <c r="CJ40" s="11">
        <f t="shared" ca="1" si="33"/>
        <v>0</v>
      </c>
      <c r="CK40" s="11">
        <f t="shared" ca="1" si="34"/>
        <v>0</v>
      </c>
      <c r="CL40" s="11">
        <f t="shared" ca="1" si="35"/>
        <v>0</v>
      </c>
      <c r="CM40" s="11">
        <f t="shared" ca="1" si="36"/>
        <v>0</v>
      </c>
      <c r="CN40" s="11">
        <f t="shared" ca="1" si="37"/>
        <v>0</v>
      </c>
    </row>
    <row r="41" spans="1:92" x14ac:dyDescent="0.3">
      <c r="A41" s="20">
        <v>7.3749913600000001</v>
      </c>
      <c r="B41">
        <v>35</v>
      </c>
      <c r="C41" t="s">
        <v>4</v>
      </c>
      <c r="D41" s="13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5">
        <v>0</v>
      </c>
      <c r="M41" s="13">
        <v>0</v>
      </c>
      <c r="N41" s="14">
        <v>0</v>
      </c>
      <c r="O41" s="14">
        <v>0</v>
      </c>
      <c r="P41" s="15">
        <v>0</v>
      </c>
      <c r="Q41" s="13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5">
        <v>0</v>
      </c>
      <c r="X41" s="13">
        <v>0</v>
      </c>
      <c r="Y41" s="14">
        <v>0</v>
      </c>
      <c r="Z41" s="14">
        <v>0</v>
      </c>
      <c r="AA41" s="14">
        <v>0</v>
      </c>
      <c r="AB41" s="14">
        <v>0</v>
      </c>
      <c r="AC41" s="15">
        <v>0</v>
      </c>
      <c r="AD41" s="13">
        <v>0</v>
      </c>
      <c r="AE41" s="14">
        <v>0</v>
      </c>
      <c r="AF41" s="14">
        <v>0</v>
      </c>
      <c r="AG41" s="14">
        <v>1</v>
      </c>
      <c r="AH41" s="14">
        <v>0</v>
      </c>
      <c r="AI41" s="14">
        <v>0</v>
      </c>
      <c r="AJ41" s="14">
        <v>0</v>
      </c>
      <c r="AK41" s="14">
        <v>1</v>
      </c>
      <c r="AL41" s="14">
        <v>0</v>
      </c>
      <c r="AM41" s="14">
        <v>0</v>
      </c>
      <c r="AN41" s="14">
        <v>0</v>
      </c>
      <c r="AO41" s="15">
        <v>0</v>
      </c>
      <c r="AP41" s="13">
        <v>0</v>
      </c>
      <c r="AQ41" s="14">
        <v>0</v>
      </c>
      <c r="AR41" s="14">
        <v>0</v>
      </c>
      <c r="AS41" s="15">
        <v>0</v>
      </c>
      <c r="AU41">
        <f t="shared" si="3"/>
        <v>2</v>
      </c>
      <c r="AW41" s="12">
        <f t="shared" ca="1" si="4"/>
        <v>4.6655999999999996E-2</v>
      </c>
      <c r="AY41" s="11">
        <f t="shared" ca="1" si="5"/>
        <v>0</v>
      </c>
      <c r="AZ41" s="11">
        <f t="shared" ca="1" si="38"/>
        <v>0</v>
      </c>
      <c r="BA41" s="11">
        <f t="shared" ca="1" si="39"/>
        <v>0</v>
      </c>
      <c r="BB41" s="11">
        <f t="shared" ca="1" si="40"/>
        <v>0</v>
      </c>
      <c r="BC41" s="11">
        <f t="shared" ca="1" si="41"/>
        <v>0</v>
      </c>
      <c r="BD41" s="11">
        <f t="shared" ca="1" si="42"/>
        <v>0</v>
      </c>
      <c r="BE41" s="11">
        <f t="shared" ca="1" si="43"/>
        <v>0</v>
      </c>
      <c r="BF41" s="11">
        <f t="shared" ca="1" si="44"/>
        <v>0</v>
      </c>
      <c r="BG41" s="11">
        <f t="shared" ca="1" si="45"/>
        <v>0</v>
      </c>
      <c r="BH41" s="11">
        <f t="shared" ca="1" si="46"/>
        <v>0</v>
      </c>
      <c r="BI41" s="11">
        <f t="shared" ca="1" si="6"/>
        <v>0</v>
      </c>
      <c r="BJ41" s="11">
        <f t="shared" ca="1" si="7"/>
        <v>0</v>
      </c>
      <c r="BK41" s="11">
        <f t="shared" ca="1" si="8"/>
        <v>0</v>
      </c>
      <c r="BL41" s="11">
        <f t="shared" ca="1" si="9"/>
        <v>0</v>
      </c>
      <c r="BM41" s="11">
        <f t="shared" ca="1" si="10"/>
        <v>0</v>
      </c>
      <c r="BN41" s="11">
        <f t="shared" ca="1" si="11"/>
        <v>0</v>
      </c>
      <c r="BO41" s="11">
        <f t="shared" ca="1" si="12"/>
        <v>0</v>
      </c>
      <c r="BP41" s="11">
        <f t="shared" ca="1" si="13"/>
        <v>0</v>
      </c>
      <c r="BQ41" s="11">
        <f t="shared" ca="1" si="14"/>
        <v>0</v>
      </c>
      <c r="BR41" s="11">
        <f t="shared" ca="1" si="15"/>
        <v>0</v>
      </c>
      <c r="BS41" s="11">
        <f t="shared" ca="1" si="16"/>
        <v>0</v>
      </c>
      <c r="BT41" s="11">
        <f t="shared" ca="1" si="17"/>
        <v>0</v>
      </c>
      <c r="BU41" s="11">
        <f t="shared" ca="1" si="18"/>
        <v>0</v>
      </c>
      <c r="BV41" s="11">
        <f t="shared" ca="1" si="19"/>
        <v>0</v>
      </c>
      <c r="BW41" s="11">
        <f t="shared" ca="1" si="20"/>
        <v>0</v>
      </c>
      <c r="BX41" s="11">
        <f t="shared" ca="1" si="21"/>
        <v>0</v>
      </c>
      <c r="BY41" s="11">
        <f t="shared" ca="1" si="22"/>
        <v>0</v>
      </c>
      <c r="BZ41" s="11">
        <f t="shared" ca="1" si="23"/>
        <v>0</v>
      </c>
      <c r="CA41" s="11">
        <f t="shared" ca="1" si="24"/>
        <v>0</v>
      </c>
      <c r="CB41" s="11">
        <f t="shared" ca="1" si="25"/>
        <v>2.7993599999999997E-2</v>
      </c>
      <c r="CC41" s="11">
        <f t="shared" ca="1" si="26"/>
        <v>0</v>
      </c>
      <c r="CD41" s="11">
        <f t="shared" ca="1" si="27"/>
        <v>0</v>
      </c>
      <c r="CE41" s="11">
        <f t="shared" ca="1" si="28"/>
        <v>0</v>
      </c>
      <c r="CF41" s="11">
        <f t="shared" ca="1" si="29"/>
        <v>4.6655999999999996E-2</v>
      </c>
      <c r="CG41" s="11">
        <f t="shared" ca="1" si="30"/>
        <v>0</v>
      </c>
      <c r="CH41" s="11">
        <f t="shared" ca="1" si="31"/>
        <v>0</v>
      </c>
      <c r="CI41" s="11">
        <f t="shared" ca="1" si="32"/>
        <v>0</v>
      </c>
      <c r="CJ41" s="11">
        <f t="shared" ca="1" si="33"/>
        <v>0</v>
      </c>
      <c r="CK41" s="11">
        <f t="shared" ca="1" si="34"/>
        <v>0</v>
      </c>
      <c r="CL41" s="11">
        <f t="shared" ca="1" si="35"/>
        <v>0</v>
      </c>
      <c r="CM41" s="11">
        <f t="shared" ca="1" si="36"/>
        <v>0</v>
      </c>
      <c r="CN41" s="11">
        <f t="shared" ca="1" si="37"/>
        <v>0</v>
      </c>
    </row>
    <row r="42" spans="1:92" x14ac:dyDescent="0.3">
      <c r="A42" s="20">
        <v>11.398527999999997</v>
      </c>
      <c r="B42">
        <v>36</v>
      </c>
      <c r="C42" t="s">
        <v>4</v>
      </c>
      <c r="D42" s="13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5">
        <v>0</v>
      </c>
      <c r="M42" s="13">
        <v>0</v>
      </c>
      <c r="N42" s="14">
        <v>0</v>
      </c>
      <c r="O42" s="14">
        <v>0</v>
      </c>
      <c r="P42" s="15">
        <v>0</v>
      </c>
      <c r="Q42" s="13">
        <v>0</v>
      </c>
      <c r="R42" s="14">
        <v>0</v>
      </c>
      <c r="S42" s="14">
        <v>0</v>
      </c>
      <c r="T42" s="14">
        <v>1</v>
      </c>
      <c r="U42" s="14">
        <v>0</v>
      </c>
      <c r="V42" s="14">
        <v>0</v>
      </c>
      <c r="W42" s="15">
        <v>1</v>
      </c>
      <c r="X42" s="13">
        <v>0</v>
      </c>
      <c r="Y42" s="14">
        <v>1</v>
      </c>
      <c r="Z42" s="14">
        <v>1</v>
      </c>
      <c r="AA42" s="14">
        <v>0</v>
      </c>
      <c r="AB42" s="14">
        <v>0</v>
      </c>
      <c r="AC42" s="15">
        <v>0</v>
      </c>
      <c r="AD42" s="13">
        <v>0</v>
      </c>
      <c r="AE42" s="14">
        <v>0</v>
      </c>
      <c r="AF42" s="14">
        <v>0</v>
      </c>
      <c r="AG42" s="14">
        <v>0</v>
      </c>
      <c r="AH42" s="14">
        <v>0</v>
      </c>
      <c r="AI42" s="14">
        <v>1</v>
      </c>
      <c r="AJ42" s="14">
        <v>0</v>
      </c>
      <c r="AK42" s="14">
        <v>0</v>
      </c>
      <c r="AL42" s="14">
        <v>0</v>
      </c>
      <c r="AM42" s="14">
        <v>0</v>
      </c>
      <c r="AN42" s="14">
        <v>1</v>
      </c>
      <c r="AO42" s="15">
        <v>0</v>
      </c>
      <c r="AP42" s="13">
        <v>0</v>
      </c>
      <c r="AQ42" s="14">
        <v>0</v>
      </c>
      <c r="AR42" s="14">
        <v>0</v>
      </c>
      <c r="AS42" s="15">
        <v>0</v>
      </c>
      <c r="AU42">
        <f t="shared" si="3"/>
        <v>6</v>
      </c>
      <c r="AW42" s="12">
        <f t="shared" ca="1" si="4"/>
        <v>7.7759999999999996E-2</v>
      </c>
      <c r="AY42" s="11">
        <f t="shared" ca="1" si="5"/>
        <v>0</v>
      </c>
      <c r="AZ42" s="11">
        <f t="shared" ca="1" si="38"/>
        <v>0</v>
      </c>
      <c r="BA42" s="11">
        <f t="shared" ca="1" si="39"/>
        <v>0</v>
      </c>
      <c r="BB42" s="11">
        <f t="shared" ca="1" si="40"/>
        <v>0</v>
      </c>
      <c r="BC42" s="11">
        <f t="shared" ca="1" si="41"/>
        <v>0</v>
      </c>
      <c r="BD42" s="11">
        <f t="shared" ca="1" si="42"/>
        <v>0</v>
      </c>
      <c r="BE42" s="11">
        <f t="shared" ca="1" si="43"/>
        <v>0</v>
      </c>
      <c r="BF42" s="11">
        <f t="shared" ca="1" si="44"/>
        <v>0</v>
      </c>
      <c r="BG42" s="11">
        <f t="shared" ca="1" si="45"/>
        <v>0</v>
      </c>
      <c r="BH42" s="11">
        <f t="shared" ca="1" si="46"/>
        <v>0</v>
      </c>
      <c r="BI42" s="11">
        <f t="shared" ca="1" si="6"/>
        <v>0</v>
      </c>
      <c r="BJ42" s="11">
        <f t="shared" ca="1" si="7"/>
        <v>0</v>
      </c>
      <c r="BK42" s="11">
        <f t="shared" ca="1" si="8"/>
        <v>0</v>
      </c>
      <c r="BL42" s="11">
        <f t="shared" ca="1" si="9"/>
        <v>0</v>
      </c>
      <c r="BM42" s="11">
        <f t="shared" ca="1" si="10"/>
        <v>0</v>
      </c>
      <c r="BN42" s="11">
        <f t="shared" ca="1" si="11"/>
        <v>0</v>
      </c>
      <c r="BO42" s="11">
        <f t="shared" ca="1" si="12"/>
        <v>2.7993599999999997E-2</v>
      </c>
      <c r="BP42" s="11">
        <f t="shared" ca="1" si="13"/>
        <v>0</v>
      </c>
      <c r="BQ42" s="11">
        <f t="shared" ca="1" si="14"/>
        <v>0</v>
      </c>
      <c r="BR42" s="11">
        <f t="shared" ca="1" si="15"/>
        <v>2.7993599999999997E-2</v>
      </c>
      <c r="BS42" s="11">
        <f t="shared" ca="1" si="16"/>
        <v>0</v>
      </c>
      <c r="BT42" s="11">
        <f t="shared" ca="1" si="17"/>
        <v>2.7993599999999997E-2</v>
      </c>
      <c r="BU42" s="11">
        <f t="shared" ca="1" si="18"/>
        <v>2.7993599999999997E-2</v>
      </c>
      <c r="BV42" s="11">
        <f t="shared" ca="1" si="19"/>
        <v>0</v>
      </c>
      <c r="BW42" s="11">
        <f t="shared" ca="1" si="20"/>
        <v>0</v>
      </c>
      <c r="BX42" s="11">
        <f t="shared" ca="1" si="21"/>
        <v>0</v>
      </c>
      <c r="BY42" s="11">
        <f t="shared" ca="1" si="22"/>
        <v>0</v>
      </c>
      <c r="BZ42" s="11">
        <f t="shared" ca="1" si="23"/>
        <v>0</v>
      </c>
      <c r="CA42" s="11">
        <f t="shared" ca="1" si="24"/>
        <v>0</v>
      </c>
      <c r="CB42" s="11">
        <f t="shared" ca="1" si="25"/>
        <v>0</v>
      </c>
      <c r="CC42" s="11">
        <f t="shared" ca="1" si="26"/>
        <v>0</v>
      </c>
      <c r="CD42" s="11">
        <f t="shared" ca="1" si="27"/>
        <v>4.6655999999999996E-2</v>
      </c>
      <c r="CE42" s="11">
        <f t="shared" ca="1" si="28"/>
        <v>0</v>
      </c>
      <c r="CF42" s="11">
        <f t="shared" ca="1" si="29"/>
        <v>0</v>
      </c>
      <c r="CG42" s="11">
        <f t="shared" ca="1" si="30"/>
        <v>0</v>
      </c>
      <c r="CH42" s="11">
        <f t="shared" ca="1" si="31"/>
        <v>0</v>
      </c>
      <c r="CI42" s="11">
        <f t="shared" ca="1" si="32"/>
        <v>7.7759999999999996E-2</v>
      </c>
      <c r="CJ42" s="11">
        <f t="shared" ca="1" si="33"/>
        <v>0</v>
      </c>
      <c r="CK42" s="11">
        <f t="shared" ca="1" si="34"/>
        <v>0</v>
      </c>
      <c r="CL42" s="11">
        <f t="shared" ca="1" si="35"/>
        <v>0</v>
      </c>
      <c r="CM42" s="11">
        <f t="shared" ca="1" si="36"/>
        <v>0</v>
      </c>
      <c r="CN42" s="11">
        <f t="shared" ca="1" si="37"/>
        <v>0</v>
      </c>
    </row>
    <row r="43" spans="1:92" x14ac:dyDescent="0.3">
      <c r="A43" s="20">
        <v>10.417177599999997</v>
      </c>
      <c r="B43">
        <v>37</v>
      </c>
      <c r="C43" t="s">
        <v>4</v>
      </c>
      <c r="D43" s="13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5">
        <v>0</v>
      </c>
      <c r="M43" s="13">
        <v>0</v>
      </c>
      <c r="N43" s="14">
        <v>0</v>
      </c>
      <c r="O43" s="14">
        <v>0</v>
      </c>
      <c r="P43" s="15">
        <v>0</v>
      </c>
      <c r="Q43" s="13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5">
        <v>0</v>
      </c>
      <c r="X43" s="13">
        <v>0</v>
      </c>
      <c r="Y43" s="14">
        <v>0</v>
      </c>
      <c r="Z43" s="14">
        <v>0</v>
      </c>
      <c r="AA43" s="14">
        <v>0</v>
      </c>
      <c r="AB43" s="14">
        <v>0</v>
      </c>
      <c r="AC43" s="15">
        <v>0</v>
      </c>
      <c r="AD43" s="13">
        <v>0</v>
      </c>
      <c r="AE43" s="14">
        <v>0</v>
      </c>
      <c r="AF43" s="14">
        <v>0</v>
      </c>
      <c r="AG43" s="14">
        <v>0</v>
      </c>
      <c r="AH43" s="14">
        <v>0</v>
      </c>
      <c r="AI43" s="14">
        <v>1</v>
      </c>
      <c r="AJ43" s="14">
        <v>1</v>
      </c>
      <c r="AK43" s="14">
        <v>0</v>
      </c>
      <c r="AL43" s="14">
        <v>0</v>
      </c>
      <c r="AM43" s="14">
        <v>1</v>
      </c>
      <c r="AN43" s="14">
        <v>0</v>
      </c>
      <c r="AO43" s="15">
        <v>1</v>
      </c>
      <c r="AP43" s="13">
        <v>0</v>
      </c>
      <c r="AQ43" s="14">
        <v>0</v>
      </c>
      <c r="AR43" s="14">
        <v>0</v>
      </c>
      <c r="AS43" s="15">
        <v>0</v>
      </c>
      <c r="AU43">
        <f t="shared" si="3"/>
        <v>4</v>
      </c>
      <c r="AW43" s="12">
        <f t="shared" ca="1" si="4"/>
        <v>0.12959999999999999</v>
      </c>
      <c r="AY43" s="11">
        <f t="shared" ca="1" si="5"/>
        <v>0</v>
      </c>
      <c r="AZ43" s="11">
        <f t="shared" ca="1" si="38"/>
        <v>0</v>
      </c>
      <c r="BA43" s="11">
        <f t="shared" ca="1" si="39"/>
        <v>0</v>
      </c>
      <c r="BB43" s="11">
        <f t="shared" ca="1" si="40"/>
        <v>0</v>
      </c>
      <c r="BC43" s="11">
        <f t="shared" ca="1" si="41"/>
        <v>0</v>
      </c>
      <c r="BD43" s="11">
        <f t="shared" ca="1" si="42"/>
        <v>0</v>
      </c>
      <c r="BE43" s="11">
        <f t="shared" ca="1" si="43"/>
        <v>0</v>
      </c>
      <c r="BF43" s="11">
        <f t="shared" ca="1" si="44"/>
        <v>0</v>
      </c>
      <c r="BG43" s="11">
        <f t="shared" ca="1" si="45"/>
        <v>0</v>
      </c>
      <c r="BH43" s="11">
        <f t="shared" ca="1" si="46"/>
        <v>0</v>
      </c>
      <c r="BI43" s="11">
        <f t="shared" ca="1" si="6"/>
        <v>0</v>
      </c>
      <c r="BJ43" s="11">
        <f t="shared" ca="1" si="7"/>
        <v>0</v>
      </c>
      <c r="BK43" s="11">
        <f t="shared" ca="1" si="8"/>
        <v>0</v>
      </c>
      <c r="BL43" s="11">
        <f t="shared" ca="1" si="9"/>
        <v>0</v>
      </c>
      <c r="BM43" s="11">
        <f t="shared" ca="1" si="10"/>
        <v>0</v>
      </c>
      <c r="BN43" s="11">
        <f t="shared" ca="1" si="11"/>
        <v>0</v>
      </c>
      <c r="BO43" s="11">
        <f t="shared" ca="1" si="12"/>
        <v>0</v>
      </c>
      <c r="BP43" s="11">
        <f t="shared" ca="1" si="13"/>
        <v>0</v>
      </c>
      <c r="BQ43" s="11">
        <f t="shared" ca="1" si="14"/>
        <v>0</v>
      </c>
      <c r="BR43" s="11">
        <f t="shared" ca="1" si="15"/>
        <v>0</v>
      </c>
      <c r="BS43" s="11">
        <f t="shared" ca="1" si="16"/>
        <v>0</v>
      </c>
      <c r="BT43" s="11">
        <f t="shared" ca="1" si="17"/>
        <v>0</v>
      </c>
      <c r="BU43" s="11">
        <f t="shared" ca="1" si="18"/>
        <v>0</v>
      </c>
      <c r="BV43" s="11">
        <f t="shared" ca="1" si="19"/>
        <v>0</v>
      </c>
      <c r="BW43" s="11">
        <f t="shared" ca="1" si="20"/>
        <v>0</v>
      </c>
      <c r="BX43" s="11">
        <f t="shared" ca="1" si="21"/>
        <v>0</v>
      </c>
      <c r="BY43" s="11">
        <f t="shared" ca="1" si="22"/>
        <v>0</v>
      </c>
      <c r="BZ43" s="11">
        <f t="shared" ca="1" si="23"/>
        <v>0</v>
      </c>
      <c r="CA43" s="11">
        <f t="shared" ca="1" si="24"/>
        <v>0</v>
      </c>
      <c r="CB43" s="11">
        <f t="shared" ca="1" si="25"/>
        <v>0</v>
      </c>
      <c r="CC43" s="11">
        <f t="shared" ca="1" si="26"/>
        <v>0</v>
      </c>
      <c r="CD43" s="11">
        <f t="shared" ca="1" si="27"/>
        <v>4.6655999999999996E-2</v>
      </c>
      <c r="CE43" s="11">
        <f t="shared" ca="1" si="28"/>
        <v>7.7759999999999996E-2</v>
      </c>
      <c r="CF43" s="11">
        <f t="shared" ca="1" si="29"/>
        <v>0</v>
      </c>
      <c r="CG43" s="11">
        <f t="shared" ca="1" si="30"/>
        <v>0</v>
      </c>
      <c r="CH43" s="11">
        <f t="shared" ca="1" si="31"/>
        <v>4.6655999999999996E-2</v>
      </c>
      <c r="CI43" s="11">
        <f t="shared" ca="1" si="32"/>
        <v>0</v>
      </c>
      <c r="CJ43" s="11">
        <f t="shared" ca="1" si="33"/>
        <v>0.12959999999999999</v>
      </c>
      <c r="CK43" s="11">
        <f t="shared" ca="1" si="34"/>
        <v>0</v>
      </c>
      <c r="CL43" s="11">
        <f t="shared" ca="1" si="35"/>
        <v>0</v>
      </c>
      <c r="CM43" s="11">
        <f t="shared" ca="1" si="36"/>
        <v>0</v>
      </c>
      <c r="CN43" s="11">
        <f t="shared" ca="1" si="37"/>
        <v>0</v>
      </c>
    </row>
    <row r="44" spans="1:92" x14ac:dyDescent="0.3">
      <c r="A44" s="20">
        <v>9.0535167999999988</v>
      </c>
      <c r="B44">
        <v>38</v>
      </c>
      <c r="C44" t="s">
        <v>4</v>
      </c>
      <c r="D44" s="13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5">
        <v>0</v>
      </c>
      <c r="M44" s="13">
        <v>0</v>
      </c>
      <c r="N44" s="14">
        <v>0</v>
      </c>
      <c r="O44" s="14">
        <v>0</v>
      </c>
      <c r="P44" s="15">
        <v>0</v>
      </c>
      <c r="Q44" s="13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5">
        <v>0</v>
      </c>
      <c r="X44" s="13">
        <v>0</v>
      </c>
      <c r="Y44" s="14">
        <v>0</v>
      </c>
      <c r="Z44" s="14">
        <v>0</v>
      </c>
      <c r="AA44" s="14">
        <v>0</v>
      </c>
      <c r="AB44" s="14">
        <v>0</v>
      </c>
      <c r="AC44" s="15">
        <v>0</v>
      </c>
      <c r="AD44" s="13">
        <v>0</v>
      </c>
      <c r="AE44" s="14">
        <v>0</v>
      </c>
      <c r="AF44" s="14">
        <v>0</v>
      </c>
      <c r="AG44" s="14">
        <v>0</v>
      </c>
      <c r="AH44" s="14">
        <v>0</v>
      </c>
      <c r="AI44" s="14">
        <v>0</v>
      </c>
      <c r="AJ44" s="14">
        <v>1</v>
      </c>
      <c r="AK44" s="14">
        <v>0</v>
      </c>
      <c r="AL44" s="14">
        <v>0</v>
      </c>
      <c r="AM44" s="14">
        <v>0</v>
      </c>
      <c r="AN44" s="14">
        <v>1</v>
      </c>
      <c r="AO44" s="15">
        <v>0</v>
      </c>
      <c r="AP44" s="13">
        <v>1</v>
      </c>
      <c r="AQ44" s="14">
        <v>0</v>
      </c>
      <c r="AR44" s="14">
        <v>0</v>
      </c>
      <c r="AS44" s="15">
        <v>0</v>
      </c>
      <c r="AU44">
        <f t="shared" si="3"/>
        <v>3</v>
      </c>
      <c r="AW44" s="12">
        <f t="shared" ca="1" si="4"/>
        <v>0.216</v>
      </c>
      <c r="AY44" s="11">
        <f t="shared" ca="1" si="5"/>
        <v>0</v>
      </c>
      <c r="AZ44" s="11">
        <f t="shared" ca="1" si="38"/>
        <v>0</v>
      </c>
      <c r="BA44" s="11">
        <f t="shared" ca="1" si="39"/>
        <v>0</v>
      </c>
      <c r="BB44" s="11">
        <f t="shared" ca="1" si="40"/>
        <v>0</v>
      </c>
      <c r="BC44" s="11">
        <f t="shared" ca="1" si="41"/>
        <v>0</v>
      </c>
      <c r="BD44" s="11">
        <f t="shared" ca="1" si="42"/>
        <v>0</v>
      </c>
      <c r="BE44" s="11">
        <f t="shared" ca="1" si="43"/>
        <v>0</v>
      </c>
      <c r="BF44" s="11">
        <f t="shared" ca="1" si="44"/>
        <v>0</v>
      </c>
      <c r="BG44" s="11">
        <f t="shared" ca="1" si="45"/>
        <v>0</v>
      </c>
      <c r="BH44" s="11">
        <f t="shared" ca="1" si="46"/>
        <v>0</v>
      </c>
      <c r="BI44" s="11">
        <f t="shared" ca="1" si="6"/>
        <v>0</v>
      </c>
      <c r="BJ44" s="11">
        <f t="shared" ca="1" si="7"/>
        <v>0</v>
      </c>
      <c r="BK44" s="11">
        <f t="shared" ca="1" si="8"/>
        <v>0</v>
      </c>
      <c r="BL44" s="11">
        <f t="shared" ca="1" si="9"/>
        <v>0</v>
      </c>
      <c r="BM44" s="11">
        <f t="shared" ca="1" si="10"/>
        <v>0</v>
      </c>
      <c r="BN44" s="11">
        <f t="shared" ca="1" si="11"/>
        <v>0</v>
      </c>
      <c r="BO44" s="11">
        <f t="shared" ca="1" si="12"/>
        <v>0</v>
      </c>
      <c r="BP44" s="11">
        <f t="shared" ca="1" si="13"/>
        <v>0</v>
      </c>
      <c r="BQ44" s="11">
        <f t="shared" ca="1" si="14"/>
        <v>0</v>
      </c>
      <c r="BR44" s="11">
        <f t="shared" ca="1" si="15"/>
        <v>0</v>
      </c>
      <c r="BS44" s="11">
        <f t="shared" ca="1" si="16"/>
        <v>0</v>
      </c>
      <c r="BT44" s="11">
        <f t="shared" ca="1" si="17"/>
        <v>0</v>
      </c>
      <c r="BU44" s="11">
        <f t="shared" ca="1" si="18"/>
        <v>0</v>
      </c>
      <c r="BV44" s="11">
        <f t="shared" ca="1" si="19"/>
        <v>0</v>
      </c>
      <c r="BW44" s="11">
        <f t="shared" ca="1" si="20"/>
        <v>0</v>
      </c>
      <c r="BX44" s="11">
        <f t="shared" ca="1" si="21"/>
        <v>0</v>
      </c>
      <c r="BY44" s="11">
        <f t="shared" ca="1" si="22"/>
        <v>0</v>
      </c>
      <c r="BZ44" s="11">
        <f t="shared" ca="1" si="23"/>
        <v>0</v>
      </c>
      <c r="CA44" s="11">
        <f t="shared" ca="1" si="24"/>
        <v>0</v>
      </c>
      <c r="CB44" s="11">
        <f t="shared" ca="1" si="25"/>
        <v>0</v>
      </c>
      <c r="CC44" s="11">
        <f t="shared" ca="1" si="26"/>
        <v>0</v>
      </c>
      <c r="CD44" s="11">
        <f t="shared" ca="1" si="27"/>
        <v>0</v>
      </c>
      <c r="CE44" s="11">
        <f t="shared" ca="1" si="28"/>
        <v>7.7759999999999996E-2</v>
      </c>
      <c r="CF44" s="11">
        <f t="shared" ca="1" si="29"/>
        <v>0</v>
      </c>
      <c r="CG44" s="11">
        <f t="shared" ca="1" si="30"/>
        <v>0</v>
      </c>
      <c r="CH44" s="11">
        <f t="shared" ca="1" si="31"/>
        <v>0</v>
      </c>
      <c r="CI44" s="11">
        <f t="shared" ca="1" si="32"/>
        <v>7.7759999999999996E-2</v>
      </c>
      <c r="CJ44" s="11">
        <f t="shared" ca="1" si="33"/>
        <v>0</v>
      </c>
      <c r="CK44" s="11">
        <f t="shared" ca="1" si="34"/>
        <v>0.216</v>
      </c>
      <c r="CL44" s="11">
        <f t="shared" ca="1" si="35"/>
        <v>0</v>
      </c>
      <c r="CM44" s="11">
        <f t="shared" ca="1" si="36"/>
        <v>0</v>
      </c>
      <c r="CN44" s="11">
        <f t="shared" ca="1" si="37"/>
        <v>0</v>
      </c>
    </row>
    <row r="45" spans="1:92" x14ac:dyDescent="0.3">
      <c r="A45" s="20">
        <v>7.07051008</v>
      </c>
      <c r="B45">
        <v>39</v>
      </c>
      <c r="C45" t="s">
        <v>5</v>
      </c>
      <c r="D45" s="13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5">
        <v>0</v>
      </c>
      <c r="M45" s="13">
        <v>0</v>
      </c>
      <c r="N45" s="14">
        <v>0</v>
      </c>
      <c r="O45" s="14">
        <v>0</v>
      </c>
      <c r="P45" s="15">
        <v>0</v>
      </c>
      <c r="Q45" s="13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5">
        <v>0</v>
      </c>
      <c r="X45" s="13">
        <v>0</v>
      </c>
      <c r="Y45" s="14">
        <v>0</v>
      </c>
      <c r="Z45" s="14">
        <v>0</v>
      </c>
      <c r="AA45" s="14">
        <v>0</v>
      </c>
      <c r="AB45" s="14">
        <v>0</v>
      </c>
      <c r="AC45" s="15">
        <v>0</v>
      </c>
      <c r="AD45" s="13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5">
        <v>1</v>
      </c>
      <c r="AP45" s="13">
        <v>0</v>
      </c>
      <c r="AQ45" s="14">
        <v>1</v>
      </c>
      <c r="AR45" s="14">
        <v>1</v>
      </c>
      <c r="AS45" s="15">
        <v>0</v>
      </c>
      <c r="AU45">
        <f t="shared" si="3"/>
        <v>3</v>
      </c>
      <c r="AW45" s="12">
        <f t="shared" ca="1" si="4"/>
        <v>0.36</v>
      </c>
      <c r="AY45" s="11">
        <f t="shared" ca="1" si="5"/>
        <v>0</v>
      </c>
      <c r="AZ45" s="11">
        <f t="shared" ca="1" si="38"/>
        <v>0</v>
      </c>
      <c r="BA45" s="11">
        <f t="shared" ca="1" si="39"/>
        <v>0</v>
      </c>
      <c r="BB45" s="11">
        <f t="shared" ca="1" si="40"/>
        <v>0</v>
      </c>
      <c r="BC45" s="11">
        <f t="shared" ca="1" si="41"/>
        <v>0</v>
      </c>
      <c r="BD45" s="11">
        <f t="shared" ca="1" si="42"/>
        <v>0</v>
      </c>
      <c r="BE45" s="11">
        <f t="shared" ca="1" si="43"/>
        <v>0</v>
      </c>
      <c r="BF45" s="11">
        <f t="shared" ca="1" si="44"/>
        <v>0</v>
      </c>
      <c r="BG45" s="11">
        <f t="shared" ca="1" si="45"/>
        <v>0</v>
      </c>
      <c r="BH45" s="11">
        <f t="shared" ca="1" si="46"/>
        <v>0</v>
      </c>
      <c r="BI45" s="11">
        <f t="shared" ca="1" si="6"/>
        <v>0</v>
      </c>
      <c r="BJ45" s="11">
        <f t="shared" ca="1" si="7"/>
        <v>0</v>
      </c>
      <c r="BK45" s="11">
        <f t="shared" ca="1" si="8"/>
        <v>0</v>
      </c>
      <c r="BL45" s="11">
        <f t="shared" ca="1" si="9"/>
        <v>0</v>
      </c>
      <c r="BM45" s="11">
        <f t="shared" ca="1" si="10"/>
        <v>0</v>
      </c>
      <c r="BN45" s="11">
        <f t="shared" ca="1" si="11"/>
        <v>0</v>
      </c>
      <c r="BO45" s="11">
        <f t="shared" ca="1" si="12"/>
        <v>0</v>
      </c>
      <c r="BP45" s="11">
        <f t="shared" ca="1" si="13"/>
        <v>0</v>
      </c>
      <c r="BQ45" s="11">
        <f t="shared" ca="1" si="14"/>
        <v>0</v>
      </c>
      <c r="BR45" s="11">
        <f t="shared" ca="1" si="15"/>
        <v>0</v>
      </c>
      <c r="BS45" s="11">
        <f t="shared" ca="1" si="16"/>
        <v>0</v>
      </c>
      <c r="BT45" s="11">
        <f t="shared" ca="1" si="17"/>
        <v>0</v>
      </c>
      <c r="BU45" s="11">
        <f t="shared" ca="1" si="18"/>
        <v>0</v>
      </c>
      <c r="BV45" s="11">
        <f t="shared" ca="1" si="19"/>
        <v>0</v>
      </c>
      <c r="BW45" s="11">
        <f t="shared" ca="1" si="20"/>
        <v>0</v>
      </c>
      <c r="BX45" s="11">
        <f t="shared" ca="1" si="21"/>
        <v>0</v>
      </c>
      <c r="BY45" s="11">
        <f t="shared" ca="1" si="22"/>
        <v>0</v>
      </c>
      <c r="BZ45" s="11">
        <f t="shared" ca="1" si="23"/>
        <v>0</v>
      </c>
      <c r="CA45" s="11">
        <f t="shared" ca="1" si="24"/>
        <v>0</v>
      </c>
      <c r="CB45" s="11">
        <f t="shared" ca="1" si="25"/>
        <v>0</v>
      </c>
      <c r="CC45" s="11">
        <f t="shared" ca="1" si="26"/>
        <v>0</v>
      </c>
      <c r="CD45" s="11">
        <f t="shared" ca="1" si="27"/>
        <v>0</v>
      </c>
      <c r="CE45" s="11">
        <f t="shared" ca="1" si="28"/>
        <v>0</v>
      </c>
      <c r="CF45" s="11">
        <f t="shared" ca="1" si="29"/>
        <v>0</v>
      </c>
      <c r="CG45" s="11">
        <f t="shared" ca="1" si="30"/>
        <v>0</v>
      </c>
      <c r="CH45" s="11">
        <f t="shared" ca="1" si="31"/>
        <v>0</v>
      </c>
      <c r="CI45" s="11">
        <f t="shared" ca="1" si="32"/>
        <v>0</v>
      </c>
      <c r="CJ45" s="11">
        <f t="shared" ca="1" si="33"/>
        <v>0.12959999999999999</v>
      </c>
      <c r="CK45" s="11">
        <f t="shared" ca="1" si="34"/>
        <v>0</v>
      </c>
      <c r="CL45" s="11">
        <f t="shared" ca="1" si="35"/>
        <v>0.36</v>
      </c>
      <c r="CM45" s="11">
        <f t="shared" ca="1" si="36"/>
        <v>0.36</v>
      </c>
      <c r="CN45" s="11">
        <f t="shared" ca="1" si="37"/>
        <v>0</v>
      </c>
    </row>
    <row r="46" spans="1:92" x14ac:dyDescent="0.3">
      <c r="A46" s="20">
        <v>5.506306047999999</v>
      </c>
      <c r="B46">
        <v>40</v>
      </c>
      <c r="C46" t="s">
        <v>5</v>
      </c>
      <c r="D46" s="13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5">
        <v>0</v>
      </c>
      <c r="M46" s="13">
        <v>0</v>
      </c>
      <c r="N46" s="14">
        <v>0</v>
      </c>
      <c r="O46" s="14">
        <v>0</v>
      </c>
      <c r="P46" s="15">
        <v>0</v>
      </c>
      <c r="Q46" s="13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5">
        <v>0</v>
      </c>
      <c r="X46" s="13">
        <v>0</v>
      </c>
      <c r="Y46" s="14">
        <v>0</v>
      </c>
      <c r="Z46" s="14">
        <v>0</v>
      </c>
      <c r="AA46" s="14">
        <v>0</v>
      </c>
      <c r="AB46" s="14">
        <v>0</v>
      </c>
      <c r="AC46" s="15">
        <v>0</v>
      </c>
      <c r="AD46" s="13">
        <v>0</v>
      </c>
      <c r="AE46" s="14">
        <v>0</v>
      </c>
      <c r="AF46" s="14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  <c r="AL46" s="14">
        <v>0</v>
      </c>
      <c r="AM46" s="14">
        <v>0</v>
      </c>
      <c r="AN46" s="14">
        <v>0</v>
      </c>
      <c r="AO46" s="15">
        <v>0</v>
      </c>
      <c r="AP46" s="13">
        <v>1</v>
      </c>
      <c r="AQ46" s="14">
        <v>0</v>
      </c>
      <c r="AR46" s="14">
        <v>1</v>
      </c>
      <c r="AS46" s="15">
        <v>1</v>
      </c>
      <c r="AU46">
        <f t="shared" si="3"/>
        <v>3</v>
      </c>
      <c r="AW46" s="12">
        <f t="shared" ca="1" si="4"/>
        <v>0.6</v>
      </c>
      <c r="AY46" s="11">
        <f t="shared" ca="1" si="5"/>
        <v>0</v>
      </c>
      <c r="AZ46" s="11">
        <f t="shared" ca="1" si="38"/>
        <v>0</v>
      </c>
      <c r="BA46" s="11">
        <f t="shared" ca="1" si="39"/>
        <v>0</v>
      </c>
      <c r="BB46" s="11">
        <f t="shared" ca="1" si="40"/>
        <v>0</v>
      </c>
      <c r="BC46" s="11">
        <f t="shared" ca="1" si="41"/>
        <v>0</v>
      </c>
      <c r="BD46" s="11">
        <f t="shared" ca="1" si="42"/>
        <v>0</v>
      </c>
      <c r="BE46" s="11">
        <f t="shared" ca="1" si="43"/>
        <v>0</v>
      </c>
      <c r="BF46" s="11">
        <f t="shared" ca="1" si="44"/>
        <v>0</v>
      </c>
      <c r="BG46" s="11">
        <f t="shared" ca="1" si="45"/>
        <v>0</v>
      </c>
      <c r="BH46" s="11">
        <f t="shared" ca="1" si="46"/>
        <v>0</v>
      </c>
      <c r="BI46" s="11">
        <f t="shared" ca="1" si="6"/>
        <v>0</v>
      </c>
      <c r="BJ46" s="11">
        <f t="shared" ca="1" si="7"/>
        <v>0</v>
      </c>
      <c r="BK46" s="11">
        <f t="shared" ca="1" si="8"/>
        <v>0</v>
      </c>
      <c r="BL46" s="11">
        <f t="shared" ca="1" si="9"/>
        <v>0</v>
      </c>
      <c r="BM46" s="11">
        <f t="shared" ca="1" si="10"/>
        <v>0</v>
      </c>
      <c r="BN46" s="11">
        <f t="shared" ca="1" si="11"/>
        <v>0</v>
      </c>
      <c r="BO46" s="11">
        <f t="shared" ca="1" si="12"/>
        <v>0</v>
      </c>
      <c r="BP46" s="11">
        <f t="shared" ca="1" si="13"/>
        <v>0</v>
      </c>
      <c r="BQ46" s="11">
        <f t="shared" ca="1" si="14"/>
        <v>0</v>
      </c>
      <c r="BR46" s="11">
        <f t="shared" ca="1" si="15"/>
        <v>0</v>
      </c>
      <c r="BS46" s="11">
        <f t="shared" ca="1" si="16"/>
        <v>0</v>
      </c>
      <c r="BT46" s="11">
        <f t="shared" ca="1" si="17"/>
        <v>0</v>
      </c>
      <c r="BU46" s="11">
        <f t="shared" ca="1" si="18"/>
        <v>0</v>
      </c>
      <c r="BV46" s="11">
        <f t="shared" ca="1" si="19"/>
        <v>0</v>
      </c>
      <c r="BW46" s="11">
        <f t="shared" ca="1" si="20"/>
        <v>0</v>
      </c>
      <c r="BX46" s="11">
        <f t="shared" ca="1" si="21"/>
        <v>0</v>
      </c>
      <c r="BY46" s="11">
        <f t="shared" ca="1" si="22"/>
        <v>0</v>
      </c>
      <c r="BZ46" s="11">
        <f t="shared" ca="1" si="23"/>
        <v>0</v>
      </c>
      <c r="CA46" s="11">
        <f t="shared" ca="1" si="24"/>
        <v>0</v>
      </c>
      <c r="CB46" s="11">
        <f t="shared" ca="1" si="25"/>
        <v>0</v>
      </c>
      <c r="CC46" s="11">
        <f t="shared" ca="1" si="26"/>
        <v>0</v>
      </c>
      <c r="CD46" s="11">
        <f t="shared" ca="1" si="27"/>
        <v>0</v>
      </c>
      <c r="CE46" s="11">
        <f t="shared" ca="1" si="28"/>
        <v>0</v>
      </c>
      <c r="CF46" s="11">
        <f t="shared" ca="1" si="29"/>
        <v>0</v>
      </c>
      <c r="CG46" s="11">
        <f t="shared" ca="1" si="30"/>
        <v>0</v>
      </c>
      <c r="CH46" s="11">
        <f t="shared" ca="1" si="31"/>
        <v>0</v>
      </c>
      <c r="CI46" s="11">
        <f t="shared" ca="1" si="32"/>
        <v>0</v>
      </c>
      <c r="CJ46" s="11">
        <f t="shared" ca="1" si="33"/>
        <v>0</v>
      </c>
      <c r="CK46" s="11">
        <f t="shared" ca="1" si="34"/>
        <v>0.216</v>
      </c>
      <c r="CL46" s="11">
        <f t="shared" ca="1" si="35"/>
        <v>0</v>
      </c>
      <c r="CM46" s="11">
        <f t="shared" ca="1" si="36"/>
        <v>0.36</v>
      </c>
      <c r="CN46" s="11">
        <f t="shared" ca="1" si="37"/>
        <v>0.6</v>
      </c>
    </row>
    <row r="47" spans="1:92" x14ac:dyDescent="0.3">
      <c r="A47" s="20">
        <v>5.5063060479999999</v>
      </c>
      <c r="B47">
        <v>41</v>
      </c>
      <c r="C47" t="s">
        <v>5</v>
      </c>
      <c r="D47" s="13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5">
        <v>0</v>
      </c>
      <c r="M47" s="13">
        <v>0</v>
      </c>
      <c r="N47" s="14">
        <v>0</v>
      </c>
      <c r="O47" s="14">
        <v>0</v>
      </c>
      <c r="P47" s="15">
        <v>0</v>
      </c>
      <c r="Q47" s="13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5">
        <v>0</v>
      </c>
      <c r="X47" s="13">
        <v>0</v>
      </c>
      <c r="Y47" s="14">
        <v>0</v>
      </c>
      <c r="Z47" s="14">
        <v>0</v>
      </c>
      <c r="AA47" s="14">
        <v>0</v>
      </c>
      <c r="AB47" s="14">
        <v>0</v>
      </c>
      <c r="AC47" s="15">
        <v>0</v>
      </c>
      <c r="AD47" s="13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  <c r="AL47" s="14">
        <v>0</v>
      </c>
      <c r="AM47" s="14">
        <v>0</v>
      </c>
      <c r="AN47" s="14">
        <v>0</v>
      </c>
      <c r="AO47" s="15">
        <v>0</v>
      </c>
      <c r="AP47" s="13">
        <v>1</v>
      </c>
      <c r="AQ47" s="14">
        <v>1</v>
      </c>
      <c r="AR47" s="14">
        <v>0</v>
      </c>
      <c r="AS47" s="15">
        <v>1</v>
      </c>
      <c r="AU47">
        <f t="shared" si="3"/>
        <v>3</v>
      </c>
      <c r="AW47" s="12">
        <f t="shared" ca="1" si="4"/>
        <v>0.6</v>
      </c>
      <c r="AY47" s="11">
        <f t="shared" ca="1" si="5"/>
        <v>0</v>
      </c>
      <c r="AZ47" s="11">
        <f t="shared" ca="1" si="38"/>
        <v>0</v>
      </c>
      <c r="BA47" s="11">
        <f t="shared" ca="1" si="39"/>
        <v>0</v>
      </c>
      <c r="BB47" s="11">
        <f t="shared" ca="1" si="40"/>
        <v>0</v>
      </c>
      <c r="BC47" s="11">
        <f t="shared" ca="1" si="41"/>
        <v>0</v>
      </c>
      <c r="BD47" s="11">
        <f t="shared" ca="1" si="42"/>
        <v>0</v>
      </c>
      <c r="BE47" s="11">
        <f t="shared" ca="1" si="43"/>
        <v>0</v>
      </c>
      <c r="BF47" s="11">
        <f t="shared" ca="1" si="44"/>
        <v>0</v>
      </c>
      <c r="BG47" s="11">
        <f t="shared" ca="1" si="45"/>
        <v>0</v>
      </c>
      <c r="BH47" s="11">
        <f t="shared" ca="1" si="46"/>
        <v>0</v>
      </c>
      <c r="BI47" s="11">
        <f t="shared" ca="1" si="6"/>
        <v>0</v>
      </c>
      <c r="BJ47" s="11">
        <f t="shared" ca="1" si="7"/>
        <v>0</v>
      </c>
      <c r="BK47" s="11">
        <f t="shared" ca="1" si="8"/>
        <v>0</v>
      </c>
      <c r="BL47" s="11">
        <f t="shared" ca="1" si="9"/>
        <v>0</v>
      </c>
      <c r="BM47" s="11">
        <f t="shared" ca="1" si="10"/>
        <v>0</v>
      </c>
      <c r="BN47" s="11">
        <f t="shared" ca="1" si="11"/>
        <v>0</v>
      </c>
      <c r="BO47" s="11">
        <f t="shared" ca="1" si="12"/>
        <v>0</v>
      </c>
      <c r="BP47" s="11">
        <f t="shared" ca="1" si="13"/>
        <v>0</v>
      </c>
      <c r="BQ47" s="11">
        <f t="shared" ca="1" si="14"/>
        <v>0</v>
      </c>
      <c r="BR47" s="11">
        <f t="shared" ca="1" si="15"/>
        <v>0</v>
      </c>
      <c r="BS47" s="11">
        <f t="shared" ca="1" si="16"/>
        <v>0</v>
      </c>
      <c r="BT47" s="11">
        <f t="shared" ca="1" si="17"/>
        <v>0</v>
      </c>
      <c r="BU47" s="11">
        <f t="shared" ca="1" si="18"/>
        <v>0</v>
      </c>
      <c r="BV47" s="11">
        <f t="shared" ca="1" si="19"/>
        <v>0</v>
      </c>
      <c r="BW47" s="11">
        <f t="shared" ca="1" si="20"/>
        <v>0</v>
      </c>
      <c r="BX47" s="11">
        <f t="shared" ca="1" si="21"/>
        <v>0</v>
      </c>
      <c r="BY47" s="11">
        <f t="shared" ca="1" si="22"/>
        <v>0</v>
      </c>
      <c r="BZ47" s="11">
        <f t="shared" ca="1" si="23"/>
        <v>0</v>
      </c>
      <c r="CA47" s="11">
        <f t="shared" ca="1" si="24"/>
        <v>0</v>
      </c>
      <c r="CB47" s="11">
        <f t="shared" ca="1" si="25"/>
        <v>0</v>
      </c>
      <c r="CC47" s="11">
        <f t="shared" ca="1" si="26"/>
        <v>0</v>
      </c>
      <c r="CD47" s="11">
        <f t="shared" ca="1" si="27"/>
        <v>0</v>
      </c>
      <c r="CE47" s="11">
        <f t="shared" ca="1" si="28"/>
        <v>0</v>
      </c>
      <c r="CF47" s="11">
        <f t="shared" ca="1" si="29"/>
        <v>0</v>
      </c>
      <c r="CG47" s="11">
        <f t="shared" ca="1" si="30"/>
        <v>0</v>
      </c>
      <c r="CH47" s="11">
        <f t="shared" ca="1" si="31"/>
        <v>0</v>
      </c>
      <c r="CI47" s="11">
        <f t="shared" ca="1" si="32"/>
        <v>0</v>
      </c>
      <c r="CJ47" s="11">
        <f t="shared" ca="1" si="33"/>
        <v>0</v>
      </c>
      <c r="CK47" s="11">
        <f t="shared" ca="1" si="34"/>
        <v>0.216</v>
      </c>
      <c r="CL47" s="11">
        <f t="shared" ca="1" si="35"/>
        <v>0.36</v>
      </c>
      <c r="CM47" s="11">
        <f t="shared" ca="1" si="36"/>
        <v>0</v>
      </c>
      <c r="CN47" s="11">
        <f t="shared" ca="1" si="37"/>
        <v>0.6</v>
      </c>
    </row>
    <row r="48" spans="1:92" x14ac:dyDescent="0.3">
      <c r="A48" s="20">
        <v>4.1837836288000005</v>
      </c>
      <c r="B48">
        <v>42</v>
      </c>
      <c r="C48" t="s">
        <v>5</v>
      </c>
      <c r="D48" s="16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5">
        <v>0</v>
      </c>
      <c r="M48" s="13">
        <v>0</v>
      </c>
      <c r="N48" s="14">
        <v>0</v>
      </c>
      <c r="O48" s="14">
        <v>0</v>
      </c>
      <c r="P48" s="15">
        <v>0</v>
      </c>
      <c r="Q48" s="13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5">
        <v>0</v>
      </c>
      <c r="X48" s="13">
        <v>0</v>
      </c>
      <c r="Y48" s="14">
        <v>0</v>
      </c>
      <c r="Z48" s="14">
        <v>0</v>
      </c>
      <c r="AA48" s="14">
        <v>0</v>
      </c>
      <c r="AB48" s="14">
        <v>0</v>
      </c>
      <c r="AC48" s="15">
        <v>0</v>
      </c>
      <c r="AD48" s="13">
        <v>0</v>
      </c>
      <c r="AE48" s="14">
        <v>0</v>
      </c>
      <c r="AF48" s="14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  <c r="AL48" s="14">
        <v>0</v>
      </c>
      <c r="AM48" s="14">
        <v>0</v>
      </c>
      <c r="AN48" s="14">
        <v>0</v>
      </c>
      <c r="AO48" s="15">
        <v>0</v>
      </c>
      <c r="AP48" s="13">
        <v>0</v>
      </c>
      <c r="AQ48" s="14">
        <v>1</v>
      </c>
      <c r="AR48" s="14">
        <v>1</v>
      </c>
      <c r="AS48" s="15">
        <v>0</v>
      </c>
      <c r="AU48">
        <f t="shared" si="3"/>
        <v>2</v>
      </c>
      <c r="AW48" s="12">
        <f t="shared" ca="1" si="4"/>
        <v>0.36</v>
      </c>
      <c r="AY48" s="11">
        <f t="shared" ca="1" si="5"/>
        <v>0</v>
      </c>
      <c r="AZ48" s="11">
        <f t="shared" ca="1" si="38"/>
        <v>0</v>
      </c>
      <c r="BA48" s="11">
        <f t="shared" ca="1" si="39"/>
        <v>0</v>
      </c>
      <c r="BB48" s="11">
        <f t="shared" ca="1" si="40"/>
        <v>0</v>
      </c>
      <c r="BC48" s="11">
        <f t="shared" ca="1" si="41"/>
        <v>0</v>
      </c>
      <c r="BD48" s="11">
        <f t="shared" ca="1" si="42"/>
        <v>0</v>
      </c>
      <c r="BE48" s="11">
        <f t="shared" ca="1" si="43"/>
        <v>0</v>
      </c>
      <c r="BF48" s="11">
        <f t="shared" ca="1" si="44"/>
        <v>0</v>
      </c>
      <c r="BG48" s="11">
        <f t="shared" ca="1" si="45"/>
        <v>0</v>
      </c>
      <c r="BH48" s="11">
        <f t="shared" ca="1" si="46"/>
        <v>0</v>
      </c>
      <c r="BI48" s="11">
        <f t="shared" ca="1" si="6"/>
        <v>0</v>
      </c>
      <c r="BJ48" s="11">
        <f t="shared" ca="1" si="7"/>
        <v>0</v>
      </c>
      <c r="BK48" s="11">
        <f t="shared" ca="1" si="8"/>
        <v>0</v>
      </c>
      <c r="BL48" s="11">
        <f t="shared" ca="1" si="9"/>
        <v>0</v>
      </c>
      <c r="BM48" s="11">
        <f t="shared" ca="1" si="10"/>
        <v>0</v>
      </c>
      <c r="BN48" s="11">
        <f t="shared" ca="1" si="11"/>
        <v>0</v>
      </c>
      <c r="BO48" s="11">
        <f t="shared" ca="1" si="12"/>
        <v>0</v>
      </c>
      <c r="BP48" s="11">
        <f t="shared" ca="1" si="13"/>
        <v>0</v>
      </c>
      <c r="BQ48" s="11">
        <f t="shared" ca="1" si="14"/>
        <v>0</v>
      </c>
      <c r="BR48" s="11">
        <f t="shared" ca="1" si="15"/>
        <v>0</v>
      </c>
      <c r="BS48" s="11">
        <f t="shared" ca="1" si="16"/>
        <v>0</v>
      </c>
      <c r="BT48" s="11">
        <f t="shared" ca="1" si="17"/>
        <v>0</v>
      </c>
      <c r="BU48" s="11">
        <f t="shared" ca="1" si="18"/>
        <v>0</v>
      </c>
      <c r="BV48" s="11">
        <f t="shared" ca="1" si="19"/>
        <v>0</v>
      </c>
      <c r="BW48" s="11">
        <f t="shared" ca="1" si="20"/>
        <v>0</v>
      </c>
      <c r="BX48" s="11">
        <f t="shared" ca="1" si="21"/>
        <v>0</v>
      </c>
      <c r="BY48" s="11">
        <f t="shared" ca="1" si="22"/>
        <v>0</v>
      </c>
      <c r="BZ48" s="11">
        <f t="shared" ca="1" si="23"/>
        <v>0</v>
      </c>
      <c r="CA48" s="11">
        <f t="shared" ca="1" si="24"/>
        <v>0</v>
      </c>
      <c r="CB48" s="11">
        <f t="shared" ca="1" si="25"/>
        <v>0</v>
      </c>
      <c r="CC48" s="11">
        <f t="shared" ca="1" si="26"/>
        <v>0</v>
      </c>
      <c r="CD48" s="11">
        <f t="shared" ca="1" si="27"/>
        <v>0</v>
      </c>
      <c r="CE48" s="11">
        <f t="shared" ca="1" si="28"/>
        <v>0</v>
      </c>
      <c r="CF48" s="11">
        <f t="shared" ca="1" si="29"/>
        <v>0</v>
      </c>
      <c r="CG48" s="11">
        <f t="shared" ca="1" si="30"/>
        <v>0</v>
      </c>
      <c r="CH48" s="11">
        <f t="shared" ca="1" si="31"/>
        <v>0</v>
      </c>
      <c r="CI48" s="11">
        <f t="shared" ca="1" si="32"/>
        <v>0</v>
      </c>
      <c r="CJ48" s="11">
        <f t="shared" ca="1" si="33"/>
        <v>0</v>
      </c>
      <c r="CK48" s="11">
        <f t="shared" ca="1" si="34"/>
        <v>0</v>
      </c>
      <c r="CL48" s="11">
        <f t="shared" ca="1" si="35"/>
        <v>0.36</v>
      </c>
      <c r="CM48" s="11">
        <f t="shared" ca="1" si="36"/>
        <v>0.36</v>
      </c>
      <c r="CN48" s="11">
        <f t="shared" ca="1" si="37"/>
        <v>0</v>
      </c>
    </row>
    <row r="50" spans="1:47" x14ac:dyDescent="0.3">
      <c r="D50" s="3">
        <f>SUM(D7:D48)</f>
        <v>3</v>
      </c>
      <c r="E50" s="1">
        <f t="shared" ref="E50:AS50" si="47">SUM(E7:E48)</f>
        <v>4</v>
      </c>
      <c r="F50" s="1">
        <f t="shared" si="47"/>
        <v>4</v>
      </c>
      <c r="G50" s="1">
        <f t="shared" si="47"/>
        <v>4</v>
      </c>
      <c r="H50" s="1">
        <f t="shared" si="47"/>
        <v>6</v>
      </c>
      <c r="I50" s="1">
        <f t="shared" si="47"/>
        <v>3</v>
      </c>
      <c r="J50" s="1">
        <f t="shared" si="47"/>
        <v>4</v>
      </c>
      <c r="K50" s="1">
        <f t="shared" si="47"/>
        <v>4</v>
      </c>
      <c r="L50" s="2">
        <f t="shared" si="47"/>
        <v>3</v>
      </c>
      <c r="M50" s="3">
        <f t="shared" si="47"/>
        <v>3</v>
      </c>
      <c r="N50" s="1">
        <f t="shared" si="47"/>
        <v>3</v>
      </c>
      <c r="O50" s="1">
        <f t="shared" si="47"/>
        <v>4</v>
      </c>
      <c r="P50" s="2">
        <f t="shared" si="47"/>
        <v>2</v>
      </c>
      <c r="Q50" s="3">
        <f t="shared" si="47"/>
        <v>3</v>
      </c>
      <c r="R50" s="1">
        <f t="shared" si="47"/>
        <v>4</v>
      </c>
      <c r="S50" s="1">
        <f t="shared" si="47"/>
        <v>3</v>
      </c>
      <c r="T50" s="1">
        <f t="shared" si="47"/>
        <v>6</v>
      </c>
      <c r="U50" s="1">
        <f t="shared" si="47"/>
        <v>4</v>
      </c>
      <c r="V50" s="1">
        <f t="shared" si="47"/>
        <v>4</v>
      </c>
      <c r="W50" s="2">
        <f t="shared" si="47"/>
        <v>6</v>
      </c>
      <c r="X50" s="3">
        <f t="shared" si="47"/>
        <v>6</v>
      </c>
      <c r="Y50" s="1">
        <f t="shared" si="47"/>
        <v>4</v>
      </c>
      <c r="Z50" s="1">
        <f t="shared" si="47"/>
        <v>6</v>
      </c>
      <c r="AA50" s="1">
        <f t="shared" si="47"/>
        <v>3</v>
      </c>
      <c r="AB50" s="1">
        <f t="shared" si="47"/>
        <v>3</v>
      </c>
      <c r="AC50" s="2">
        <f t="shared" si="47"/>
        <v>2</v>
      </c>
      <c r="AD50" s="3">
        <f t="shared" si="47"/>
        <v>4</v>
      </c>
      <c r="AE50" s="1">
        <f t="shared" si="47"/>
        <v>5</v>
      </c>
      <c r="AF50" s="1">
        <f t="shared" si="47"/>
        <v>3</v>
      </c>
      <c r="AG50" s="1">
        <f t="shared" si="47"/>
        <v>5</v>
      </c>
      <c r="AH50" s="1">
        <f t="shared" si="47"/>
        <v>4</v>
      </c>
      <c r="AI50" s="1">
        <f t="shared" si="47"/>
        <v>5</v>
      </c>
      <c r="AJ50" s="1">
        <f t="shared" si="47"/>
        <v>6</v>
      </c>
      <c r="AK50" s="1">
        <f t="shared" si="47"/>
        <v>5</v>
      </c>
      <c r="AL50" s="1">
        <f t="shared" si="47"/>
        <v>2</v>
      </c>
      <c r="AM50" s="1">
        <f t="shared" si="47"/>
        <v>6</v>
      </c>
      <c r="AN50" s="1">
        <f t="shared" si="47"/>
        <v>4</v>
      </c>
      <c r="AO50" s="2">
        <f t="shared" si="47"/>
        <v>3</v>
      </c>
      <c r="AP50" s="3">
        <f t="shared" si="47"/>
        <v>3</v>
      </c>
      <c r="AQ50" s="1">
        <f t="shared" si="47"/>
        <v>3</v>
      </c>
      <c r="AR50" s="1">
        <f t="shared" si="47"/>
        <v>3</v>
      </c>
      <c r="AS50" s="2">
        <f t="shared" si="47"/>
        <v>2</v>
      </c>
    </row>
    <row r="53" spans="1:47" x14ac:dyDescent="0.3">
      <c r="A53" s="20">
        <f>SUMIF($C$7:$C$48,$C53,A$7:A$48)*($C53&lt;&gt;A$6)/B53</f>
        <v>8.2171424085333289</v>
      </c>
      <c r="B53">
        <f>COUNTIF($C$7:$C$48,C53)</f>
        <v>9</v>
      </c>
      <c r="C53" t="s">
        <v>0</v>
      </c>
      <c r="D53" s="3">
        <f t="shared" ref="D53:M58" si="48">SUMIF($C$7:$C$48,$C53,D$7:D$48)*($C53&lt;&gt;D$6)</f>
        <v>0</v>
      </c>
      <c r="E53" s="1">
        <f t="shared" si="48"/>
        <v>0</v>
      </c>
      <c r="F53" s="1">
        <f t="shared" si="48"/>
        <v>0</v>
      </c>
      <c r="G53" s="1">
        <f t="shared" si="48"/>
        <v>0</v>
      </c>
      <c r="H53" s="1">
        <f t="shared" si="48"/>
        <v>0</v>
      </c>
      <c r="I53" s="1">
        <f t="shared" si="48"/>
        <v>0</v>
      </c>
      <c r="J53" s="1">
        <f t="shared" si="48"/>
        <v>0</v>
      </c>
      <c r="K53" s="1">
        <f t="shared" si="48"/>
        <v>0</v>
      </c>
      <c r="L53" s="2">
        <f t="shared" si="48"/>
        <v>0</v>
      </c>
      <c r="M53" s="3">
        <f t="shared" si="48"/>
        <v>1</v>
      </c>
      <c r="N53" s="1">
        <f t="shared" ref="N53:W58" si="49">SUMIF($C$7:$C$48,$C53,N$7:N$48)*($C53&lt;&gt;N$6)</f>
        <v>0</v>
      </c>
      <c r="O53" s="1">
        <f t="shared" si="49"/>
        <v>0</v>
      </c>
      <c r="P53" s="2">
        <f t="shared" si="49"/>
        <v>0</v>
      </c>
      <c r="Q53" s="3">
        <f t="shared" si="49"/>
        <v>1</v>
      </c>
      <c r="R53" s="1">
        <f t="shared" si="49"/>
        <v>0</v>
      </c>
      <c r="S53" s="1">
        <f t="shared" si="49"/>
        <v>0</v>
      </c>
      <c r="T53" s="1">
        <f t="shared" si="49"/>
        <v>0</v>
      </c>
      <c r="U53" s="1">
        <f t="shared" si="49"/>
        <v>0</v>
      </c>
      <c r="V53" s="1">
        <f t="shared" si="49"/>
        <v>0</v>
      </c>
      <c r="W53" s="2">
        <f t="shared" si="49"/>
        <v>0</v>
      </c>
      <c r="X53" s="3">
        <f t="shared" ref="X53:AG58" si="50">SUMIF($C$7:$C$48,$C53,X$7:X$48)*($C53&lt;&gt;X$6)</f>
        <v>0</v>
      </c>
      <c r="Y53" s="1">
        <f t="shared" si="50"/>
        <v>0</v>
      </c>
      <c r="Z53" s="1">
        <f t="shared" si="50"/>
        <v>0</v>
      </c>
      <c r="AA53" s="1">
        <f t="shared" si="50"/>
        <v>0</v>
      </c>
      <c r="AB53" s="1">
        <f t="shared" si="50"/>
        <v>0</v>
      </c>
      <c r="AC53" s="2">
        <f t="shared" si="50"/>
        <v>0</v>
      </c>
      <c r="AD53" s="3">
        <f t="shared" si="50"/>
        <v>0</v>
      </c>
      <c r="AE53" s="1">
        <f t="shared" si="50"/>
        <v>0</v>
      </c>
      <c r="AF53" s="1">
        <f t="shared" si="50"/>
        <v>0</v>
      </c>
      <c r="AG53" s="1">
        <f t="shared" si="50"/>
        <v>1</v>
      </c>
      <c r="AH53" s="1">
        <f t="shared" ref="AH53:AS58" si="51">SUMIF($C$7:$C$48,$C53,AH$7:AH$48)*($C53&lt;&gt;AH$6)</f>
        <v>0</v>
      </c>
      <c r="AI53" s="1">
        <f t="shared" si="51"/>
        <v>0</v>
      </c>
      <c r="AJ53" s="1">
        <f t="shared" si="51"/>
        <v>0</v>
      </c>
      <c r="AK53" s="1">
        <f t="shared" si="51"/>
        <v>0</v>
      </c>
      <c r="AL53" s="1">
        <f t="shared" si="51"/>
        <v>0</v>
      </c>
      <c r="AM53" s="1">
        <f t="shared" si="51"/>
        <v>0</v>
      </c>
      <c r="AN53" s="1">
        <f t="shared" si="51"/>
        <v>0</v>
      </c>
      <c r="AO53" s="2">
        <f t="shared" si="51"/>
        <v>0</v>
      </c>
      <c r="AP53" s="3">
        <f t="shared" si="51"/>
        <v>0</v>
      </c>
      <c r="AQ53" s="1">
        <f t="shared" si="51"/>
        <v>0</v>
      </c>
      <c r="AR53" s="1">
        <f t="shared" si="51"/>
        <v>0</v>
      </c>
      <c r="AS53" s="2">
        <f t="shared" si="51"/>
        <v>0</v>
      </c>
      <c r="AU53">
        <f>COUNTIF(D53:AS53,"&gt;0")</f>
        <v>3</v>
      </c>
    </row>
    <row r="54" spans="1:47" x14ac:dyDescent="0.3">
      <c r="A54" s="20">
        <f t="shared" ref="A54:A58" si="52">SUMIF($C$7:$C$48,$C54,A$7:A$48)*($C54&lt;&gt;A$6)/B54</f>
        <v>7.667656191999999</v>
      </c>
      <c r="B54">
        <f t="shared" ref="B54:B58" si="53">COUNTIF($C$7:$C$48,C54)</f>
        <v>4</v>
      </c>
      <c r="C54" t="s">
        <v>1</v>
      </c>
      <c r="D54" s="3">
        <f t="shared" si="48"/>
        <v>0</v>
      </c>
      <c r="E54" s="1">
        <f t="shared" si="48"/>
        <v>0</v>
      </c>
      <c r="F54" s="1">
        <f t="shared" si="48"/>
        <v>0</v>
      </c>
      <c r="G54" s="1">
        <f t="shared" si="48"/>
        <v>0</v>
      </c>
      <c r="H54" s="1">
        <f t="shared" si="48"/>
        <v>0</v>
      </c>
      <c r="I54" s="1">
        <f t="shared" si="48"/>
        <v>0</v>
      </c>
      <c r="J54" s="1">
        <f t="shared" si="48"/>
        <v>0</v>
      </c>
      <c r="K54" s="1">
        <f t="shared" si="48"/>
        <v>0</v>
      </c>
      <c r="L54" s="2">
        <f t="shared" si="48"/>
        <v>1</v>
      </c>
      <c r="M54" s="3">
        <f t="shared" si="48"/>
        <v>0</v>
      </c>
      <c r="N54" s="1">
        <f t="shared" si="49"/>
        <v>0</v>
      </c>
      <c r="O54" s="1">
        <f t="shared" si="49"/>
        <v>0</v>
      </c>
      <c r="P54" s="2">
        <f t="shared" si="49"/>
        <v>0</v>
      </c>
      <c r="Q54" s="3">
        <f t="shared" si="49"/>
        <v>0</v>
      </c>
      <c r="R54" s="1">
        <f t="shared" si="49"/>
        <v>0</v>
      </c>
      <c r="S54" s="1">
        <f t="shared" si="49"/>
        <v>0</v>
      </c>
      <c r="T54" s="1">
        <f t="shared" si="49"/>
        <v>0</v>
      </c>
      <c r="U54" s="1">
        <f t="shared" si="49"/>
        <v>0</v>
      </c>
      <c r="V54" s="1">
        <f t="shared" si="49"/>
        <v>0</v>
      </c>
      <c r="W54" s="2">
        <f t="shared" si="49"/>
        <v>0</v>
      </c>
      <c r="X54" s="3">
        <f t="shared" si="50"/>
        <v>1</v>
      </c>
      <c r="Y54" s="1">
        <f t="shared" si="50"/>
        <v>0</v>
      </c>
      <c r="Z54" s="1">
        <f t="shared" si="50"/>
        <v>0</v>
      </c>
      <c r="AA54" s="1">
        <f t="shared" si="50"/>
        <v>0</v>
      </c>
      <c r="AB54" s="1">
        <f t="shared" si="50"/>
        <v>0</v>
      </c>
      <c r="AC54" s="2">
        <f t="shared" si="50"/>
        <v>0</v>
      </c>
      <c r="AD54" s="3">
        <f t="shared" si="50"/>
        <v>0</v>
      </c>
      <c r="AE54" s="1">
        <f t="shared" si="50"/>
        <v>0</v>
      </c>
      <c r="AF54" s="1">
        <f t="shared" si="50"/>
        <v>0</v>
      </c>
      <c r="AG54" s="1">
        <f t="shared" si="50"/>
        <v>0</v>
      </c>
      <c r="AH54" s="1">
        <f t="shared" si="51"/>
        <v>0</v>
      </c>
      <c r="AI54" s="1">
        <f t="shared" si="51"/>
        <v>0</v>
      </c>
      <c r="AJ54" s="1">
        <f t="shared" si="51"/>
        <v>0</v>
      </c>
      <c r="AK54" s="1">
        <f t="shared" si="51"/>
        <v>0</v>
      </c>
      <c r="AL54" s="1">
        <f t="shared" si="51"/>
        <v>0</v>
      </c>
      <c r="AM54" s="1">
        <f t="shared" si="51"/>
        <v>0</v>
      </c>
      <c r="AN54" s="1">
        <f t="shared" si="51"/>
        <v>0</v>
      </c>
      <c r="AO54" s="2">
        <f t="shared" si="51"/>
        <v>0</v>
      </c>
      <c r="AP54" s="3">
        <f t="shared" si="51"/>
        <v>0</v>
      </c>
      <c r="AQ54" s="1">
        <f t="shared" si="51"/>
        <v>0</v>
      </c>
      <c r="AR54" s="1">
        <f t="shared" si="51"/>
        <v>0</v>
      </c>
      <c r="AS54" s="2">
        <f t="shared" si="51"/>
        <v>0</v>
      </c>
      <c r="AU54">
        <f t="shared" ref="AU54:AU58" si="54">COUNTIF(D54:AS54,"&gt;0")</f>
        <v>2</v>
      </c>
    </row>
    <row r="55" spans="1:47" x14ac:dyDescent="0.3">
      <c r="A55" s="20">
        <f t="shared" si="52"/>
        <v>9.9887696457142816</v>
      </c>
      <c r="B55">
        <f t="shared" si="53"/>
        <v>7</v>
      </c>
      <c r="C55" t="s">
        <v>2</v>
      </c>
      <c r="D55" s="3">
        <f t="shared" si="48"/>
        <v>0</v>
      </c>
      <c r="E55" s="1">
        <f t="shared" si="48"/>
        <v>0</v>
      </c>
      <c r="F55" s="1">
        <f t="shared" si="48"/>
        <v>1</v>
      </c>
      <c r="G55" s="1">
        <f t="shared" si="48"/>
        <v>0</v>
      </c>
      <c r="H55" s="1">
        <f t="shared" si="48"/>
        <v>0</v>
      </c>
      <c r="I55" s="1">
        <f t="shared" si="48"/>
        <v>0</v>
      </c>
      <c r="J55" s="1">
        <f t="shared" si="48"/>
        <v>0</v>
      </c>
      <c r="K55" s="1">
        <f t="shared" si="48"/>
        <v>0</v>
      </c>
      <c r="L55" s="2">
        <f t="shared" si="48"/>
        <v>0</v>
      </c>
      <c r="M55" s="3">
        <f t="shared" si="48"/>
        <v>0</v>
      </c>
      <c r="N55" s="1">
        <f t="shared" si="49"/>
        <v>0</v>
      </c>
      <c r="O55" s="1">
        <f t="shared" si="49"/>
        <v>0</v>
      </c>
      <c r="P55" s="2">
        <f t="shared" si="49"/>
        <v>0</v>
      </c>
      <c r="Q55" s="3">
        <f t="shared" si="49"/>
        <v>0</v>
      </c>
      <c r="R55" s="1">
        <f t="shared" si="49"/>
        <v>0</v>
      </c>
      <c r="S55" s="1">
        <f t="shared" si="49"/>
        <v>0</v>
      </c>
      <c r="T55" s="1">
        <f t="shared" si="49"/>
        <v>0</v>
      </c>
      <c r="U55" s="1">
        <f t="shared" si="49"/>
        <v>0</v>
      </c>
      <c r="V55" s="1">
        <f t="shared" si="49"/>
        <v>0</v>
      </c>
      <c r="W55" s="2">
        <f t="shared" si="49"/>
        <v>0</v>
      </c>
      <c r="X55" s="3">
        <f t="shared" si="50"/>
        <v>2</v>
      </c>
      <c r="Y55" s="1">
        <f t="shared" si="50"/>
        <v>1</v>
      </c>
      <c r="Z55" s="1">
        <f t="shared" si="50"/>
        <v>0</v>
      </c>
      <c r="AA55" s="1">
        <f t="shared" si="50"/>
        <v>0</v>
      </c>
      <c r="AB55" s="1">
        <f t="shared" si="50"/>
        <v>0</v>
      </c>
      <c r="AC55" s="2">
        <f t="shared" si="50"/>
        <v>0</v>
      </c>
      <c r="AD55" s="3">
        <f t="shared" si="50"/>
        <v>1</v>
      </c>
      <c r="AE55" s="1">
        <f t="shared" si="50"/>
        <v>0</v>
      </c>
      <c r="AF55" s="1">
        <f t="shared" si="50"/>
        <v>0</v>
      </c>
      <c r="AG55" s="1">
        <f t="shared" si="50"/>
        <v>0</v>
      </c>
      <c r="AH55" s="1">
        <f t="shared" si="51"/>
        <v>0</v>
      </c>
      <c r="AI55" s="1">
        <f t="shared" si="51"/>
        <v>1</v>
      </c>
      <c r="AJ55" s="1">
        <f t="shared" si="51"/>
        <v>0</v>
      </c>
      <c r="AK55" s="1">
        <f t="shared" si="51"/>
        <v>0</v>
      </c>
      <c r="AL55" s="1">
        <f t="shared" si="51"/>
        <v>0</v>
      </c>
      <c r="AM55" s="1">
        <f t="shared" si="51"/>
        <v>2</v>
      </c>
      <c r="AN55" s="1">
        <f t="shared" si="51"/>
        <v>0</v>
      </c>
      <c r="AO55" s="2">
        <f t="shared" si="51"/>
        <v>0</v>
      </c>
      <c r="AP55" s="3">
        <f t="shared" si="51"/>
        <v>0</v>
      </c>
      <c r="AQ55" s="1">
        <f t="shared" si="51"/>
        <v>0</v>
      </c>
      <c r="AR55" s="1">
        <f t="shared" si="51"/>
        <v>0</v>
      </c>
      <c r="AS55" s="2">
        <f t="shared" si="51"/>
        <v>0</v>
      </c>
      <c r="AU55">
        <f t="shared" si="54"/>
        <v>6</v>
      </c>
    </row>
    <row r="56" spans="1:47" x14ac:dyDescent="0.3">
      <c r="A56" s="20">
        <f t="shared" si="52"/>
        <v>8.9962239999999962</v>
      </c>
      <c r="B56">
        <f t="shared" si="53"/>
        <v>6</v>
      </c>
      <c r="C56" t="s">
        <v>3</v>
      </c>
      <c r="D56" s="3">
        <f t="shared" si="48"/>
        <v>0</v>
      </c>
      <c r="E56" s="1">
        <f t="shared" si="48"/>
        <v>0</v>
      </c>
      <c r="F56" s="1">
        <f t="shared" si="48"/>
        <v>0</v>
      </c>
      <c r="G56" s="1">
        <f t="shared" si="48"/>
        <v>0</v>
      </c>
      <c r="H56" s="1">
        <f t="shared" si="48"/>
        <v>0</v>
      </c>
      <c r="I56" s="1">
        <f t="shared" si="48"/>
        <v>0</v>
      </c>
      <c r="J56" s="1">
        <f t="shared" si="48"/>
        <v>0</v>
      </c>
      <c r="K56" s="1">
        <f t="shared" si="48"/>
        <v>0</v>
      </c>
      <c r="L56" s="2">
        <f t="shared" si="48"/>
        <v>0</v>
      </c>
      <c r="M56" s="3">
        <f t="shared" si="48"/>
        <v>0</v>
      </c>
      <c r="N56" s="1">
        <f t="shared" si="49"/>
        <v>0</v>
      </c>
      <c r="O56" s="1">
        <f t="shared" si="49"/>
        <v>1</v>
      </c>
      <c r="P56" s="2">
        <f t="shared" si="49"/>
        <v>0</v>
      </c>
      <c r="Q56" s="3">
        <f t="shared" si="49"/>
        <v>0</v>
      </c>
      <c r="R56" s="1">
        <f t="shared" si="49"/>
        <v>0</v>
      </c>
      <c r="S56" s="1">
        <f t="shared" si="49"/>
        <v>0</v>
      </c>
      <c r="T56" s="1">
        <f t="shared" si="49"/>
        <v>0</v>
      </c>
      <c r="U56" s="1">
        <f t="shared" si="49"/>
        <v>1</v>
      </c>
      <c r="V56" s="1">
        <f t="shared" si="49"/>
        <v>0</v>
      </c>
      <c r="W56" s="2">
        <f t="shared" si="49"/>
        <v>2</v>
      </c>
      <c r="X56" s="3">
        <f t="shared" si="50"/>
        <v>0</v>
      </c>
      <c r="Y56" s="1">
        <f t="shared" si="50"/>
        <v>0</v>
      </c>
      <c r="Z56" s="1">
        <f t="shared" si="50"/>
        <v>0</v>
      </c>
      <c r="AA56" s="1">
        <f t="shared" si="50"/>
        <v>0</v>
      </c>
      <c r="AB56" s="1">
        <f t="shared" si="50"/>
        <v>0</v>
      </c>
      <c r="AC56" s="2">
        <f t="shared" si="50"/>
        <v>0</v>
      </c>
      <c r="AD56" s="3">
        <f t="shared" si="50"/>
        <v>0</v>
      </c>
      <c r="AE56" s="1">
        <f t="shared" si="50"/>
        <v>0</v>
      </c>
      <c r="AF56" s="1">
        <f t="shared" si="50"/>
        <v>0</v>
      </c>
      <c r="AG56" s="1">
        <f t="shared" si="50"/>
        <v>0</v>
      </c>
      <c r="AH56" s="1">
        <f t="shared" si="51"/>
        <v>0</v>
      </c>
      <c r="AI56" s="1">
        <f t="shared" si="51"/>
        <v>0</v>
      </c>
      <c r="AJ56" s="1">
        <f t="shared" si="51"/>
        <v>0</v>
      </c>
      <c r="AK56" s="1">
        <f t="shared" si="51"/>
        <v>0</v>
      </c>
      <c r="AL56" s="1">
        <f t="shared" si="51"/>
        <v>0</v>
      </c>
      <c r="AM56" s="1">
        <f t="shared" si="51"/>
        <v>2</v>
      </c>
      <c r="AN56" s="1">
        <f t="shared" si="51"/>
        <v>0</v>
      </c>
      <c r="AO56" s="2">
        <f t="shared" si="51"/>
        <v>0</v>
      </c>
      <c r="AP56" s="3">
        <f t="shared" si="51"/>
        <v>0</v>
      </c>
      <c r="AQ56" s="1">
        <f t="shared" si="51"/>
        <v>0</v>
      </c>
      <c r="AR56" s="1">
        <f t="shared" si="51"/>
        <v>0</v>
      </c>
      <c r="AS56" s="2">
        <f t="shared" si="51"/>
        <v>0</v>
      </c>
      <c r="AU56">
        <f t="shared" si="54"/>
        <v>4</v>
      </c>
    </row>
    <row r="57" spans="1:47" x14ac:dyDescent="0.3">
      <c r="A57" s="20">
        <f t="shared" si="52"/>
        <v>9.5739340799999972</v>
      </c>
      <c r="B57">
        <f t="shared" si="53"/>
        <v>12</v>
      </c>
      <c r="C57" t="s">
        <v>4</v>
      </c>
      <c r="D57" s="3">
        <f t="shared" si="48"/>
        <v>1</v>
      </c>
      <c r="E57" s="1">
        <f t="shared" si="48"/>
        <v>0</v>
      </c>
      <c r="F57" s="1">
        <f t="shared" si="48"/>
        <v>0</v>
      </c>
      <c r="G57" s="1">
        <f t="shared" si="48"/>
        <v>0</v>
      </c>
      <c r="H57" s="1">
        <f t="shared" si="48"/>
        <v>0</v>
      </c>
      <c r="I57" s="1">
        <f t="shared" si="48"/>
        <v>0</v>
      </c>
      <c r="J57" s="1">
        <f t="shared" si="48"/>
        <v>0</v>
      </c>
      <c r="K57" s="1">
        <f t="shared" si="48"/>
        <v>0</v>
      </c>
      <c r="L57" s="2">
        <f t="shared" si="48"/>
        <v>0</v>
      </c>
      <c r="M57" s="3">
        <f t="shared" si="48"/>
        <v>0</v>
      </c>
      <c r="N57" s="1">
        <f t="shared" si="49"/>
        <v>0</v>
      </c>
      <c r="O57" s="1">
        <f t="shared" si="49"/>
        <v>0</v>
      </c>
      <c r="P57" s="2">
        <f t="shared" si="49"/>
        <v>0</v>
      </c>
      <c r="Q57" s="3">
        <f t="shared" si="49"/>
        <v>0</v>
      </c>
      <c r="R57" s="1">
        <f t="shared" si="49"/>
        <v>0</v>
      </c>
      <c r="S57" s="1">
        <f t="shared" si="49"/>
        <v>0</v>
      </c>
      <c r="T57" s="1">
        <f t="shared" si="49"/>
        <v>3</v>
      </c>
      <c r="U57" s="1">
        <f t="shared" si="49"/>
        <v>0</v>
      </c>
      <c r="V57" s="1">
        <f t="shared" si="49"/>
        <v>0</v>
      </c>
      <c r="W57" s="2">
        <f t="shared" si="49"/>
        <v>1</v>
      </c>
      <c r="X57" s="3">
        <f t="shared" si="50"/>
        <v>0</v>
      </c>
      <c r="Y57" s="1">
        <f t="shared" si="50"/>
        <v>1</v>
      </c>
      <c r="Z57" s="1">
        <f t="shared" si="50"/>
        <v>1</v>
      </c>
      <c r="AA57" s="1">
        <f t="shared" si="50"/>
        <v>0</v>
      </c>
      <c r="AB57" s="1">
        <f t="shared" si="50"/>
        <v>0</v>
      </c>
      <c r="AC57" s="2">
        <f t="shared" si="50"/>
        <v>0</v>
      </c>
      <c r="AD57" s="3">
        <f t="shared" si="50"/>
        <v>0</v>
      </c>
      <c r="AE57" s="1">
        <f t="shared" si="50"/>
        <v>0</v>
      </c>
      <c r="AF57" s="1">
        <f t="shared" si="50"/>
        <v>0</v>
      </c>
      <c r="AG57" s="1">
        <f t="shared" si="50"/>
        <v>0</v>
      </c>
      <c r="AH57" s="1">
        <f t="shared" si="51"/>
        <v>0</v>
      </c>
      <c r="AI57" s="1">
        <f t="shared" si="51"/>
        <v>0</v>
      </c>
      <c r="AJ57" s="1">
        <f t="shared" si="51"/>
        <v>0</v>
      </c>
      <c r="AK57" s="1">
        <f t="shared" si="51"/>
        <v>0</v>
      </c>
      <c r="AL57" s="1">
        <f t="shared" si="51"/>
        <v>0</v>
      </c>
      <c r="AM57" s="1">
        <f t="shared" si="51"/>
        <v>0</v>
      </c>
      <c r="AN57" s="1">
        <f t="shared" si="51"/>
        <v>0</v>
      </c>
      <c r="AO57" s="2">
        <f t="shared" si="51"/>
        <v>0</v>
      </c>
      <c r="AP57" s="3">
        <f t="shared" si="51"/>
        <v>1</v>
      </c>
      <c r="AQ57" s="1">
        <f t="shared" si="51"/>
        <v>0</v>
      </c>
      <c r="AR57" s="1">
        <f t="shared" si="51"/>
        <v>0</v>
      </c>
      <c r="AS57" s="2">
        <f t="shared" si="51"/>
        <v>0</v>
      </c>
      <c r="AU57">
        <f t="shared" si="54"/>
        <v>6</v>
      </c>
    </row>
    <row r="58" spans="1:47" x14ac:dyDescent="0.3">
      <c r="A58" s="20">
        <f t="shared" si="52"/>
        <v>5.5667264512000001</v>
      </c>
      <c r="B58">
        <f t="shared" si="53"/>
        <v>4</v>
      </c>
      <c r="C58" t="s">
        <v>5</v>
      </c>
      <c r="D58" s="3">
        <f t="shared" si="48"/>
        <v>0</v>
      </c>
      <c r="E58" s="1">
        <f t="shared" si="48"/>
        <v>0</v>
      </c>
      <c r="F58" s="1">
        <f t="shared" si="48"/>
        <v>0</v>
      </c>
      <c r="G58" s="1">
        <f t="shared" si="48"/>
        <v>0</v>
      </c>
      <c r="H58" s="1">
        <f t="shared" si="48"/>
        <v>0</v>
      </c>
      <c r="I58" s="1">
        <f t="shared" si="48"/>
        <v>0</v>
      </c>
      <c r="J58" s="1">
        <f t="shared" si="48"/>
        <v>0</v>
      </c>
      <c r="K58" s="1">
        <f t="shared" si="48"/>
        <v>0</v>
      </c>
      <c r="L58" s="2">
        <f t="shared" si="48"/>
        <v>0</v>
      </c>
      <c r="M58" s="3">
        <f t="shared" si="48"/>
        <v>0</v>
      </c>
      <c r="N58" s="1">
        <f t="shared" si="49"/>
        <v>0</v>
      </c>
      <c r="O58" s="1">
        <f t="shared" si="49"/>
        <v>0</v>
      </c>
      <c r="P58" s="2">
        <f t="shared" si="49"/>
        <v>0</v>
      </c>
      <c r="Q58" s="3">
        <f t="shared" si="49"/>
        <v>0</v>
      </c>
      <c r="R58" s="1">
        <f t="shared" si="49"/>
        <v>0</v>
      </c>
      <c r="S58" s="1">
        <f t="shared" si="49"/>
        <v>0</v>
      </c>
      <c r="T58" s="1">
        <f t="shared" si="49"/>
        <v>0</v>
      </c>
      <c r="U58" s="1">
        <f t="shared" si="49"/>
        <v>0</v>
      </c>
      <c r="V58" s="1">
        <f t="shared" si="49"/>
        <v>0</v>
      </c>
      <c r="W58" s="2">
        <f t="shared" si="49"/>
        <v>0</v>
      </c>
      <c r="X58" s="3">
        <f t="shared" si="50"/>
        <v>0</v>
      </c>
      <c r="Y58" s="1">
        <f t="shared" si="50"/>
        <v>0</v>
      </c>
      <c r="Z58" s="1">
        <f t="shared" si="50"/>
        <v>0</v>
      </c>
      <c r="AA58" s="1">
        <f t="shared" si="50"/>
        <v>0</v>
      </c>
      <c r="AB58" s="1">
        <f t="shared" si="50"/>
        <v>0</v>
      </c>
      <c r="AC58" s="2">
        <f t="shared" si="50"/>
        <v>0</v>
      </c>
      <c r="AD58" s="3">
        <f t="shared" si="50"/>
        <v>0</v>
      </c>
      <c r="AE58" s="1">
        <f t="shared" si="50"/>
        <v>0</v>
      </c>
      <c r="AF58" s="1">
        <f t="shared" si="50"/>
        <v>0</v>
      </c>
      <c r="AG58" s="1">
        <f t="shared" si="50"/>
        <v>0</v>
      </c>
      <c r="AH58" s="1">
        <f t="shared" si="51"/>
        <v>0</v>
      </c>
      <c r="AI58" s="1">
        <f t="shared" si="51"/>
        <v>0</v>
      </c>
      <c r="AJ58" s="1">
        <f t="shared" si="51"/>
        <v>0</v>
      </c>
      <c r="AK58" s="1">
        <f t="shared" si="51"/>
        <v>0</v>
      </c>
      <c r="AL58" s="1">
        <f t="shared" si="51"/>
        <v>0</v>
      </c>
      <c r="AM58" s="1">
        <f t="shared" si="51"/>
        <v>0</v>
      </c>
      <c r="AN58" s="1">
        <f t="shared" si="51"/>
        <v>0</v>
      </c>
      <c r="AO58" s="2">
        <f t="shared" si="51"/>
        <v>1</v>
      </c>
      <c r="AP58" s="3">
        <f t="shared" si="51"/>
        <v>0</v>
      </c>
      <c r="AQ58" s="1">
        <f t="shared" si="51"/>
        <v>0</v>
      </c>
      <c r="AR58" s="1">
        <f t="shared" si="51"/>
        <v>0</v>
      </c>
      <c r="AS58" s="2">
        <f t="shared" si="51"/>
        <v>0</v>
      </c>
      <c r="AU58">
        <f t="shared" si="54"/>
        <v>1</v>
      </c>
    </row>
    <row r="60" spans="1:47" x14ac:dyDescent="0.3">
      <c r="C60">
        <v>5</v>
      </c>
      <c r="D60" s="4">
        <f>C60/B53</f>
        <v>0.55555555555555558</v>
      </c>
      <c r="E60" s="1" t="s">
        <v>0</v>
      </c>
    </row>
    <row r="61" spans="1:47" x14ac:dyDescent="0.3">
      <c r="B61">
        <v>39</v>
      </c>
      <c r="C61">
        <v>2</v>
      </c>
      <c r="D61" s="4">
        <f t="shared" ref="D61:D65" si="55">C61/B54</f>
        <v>0.5</v>
      </c>
      <c r="E61" s="1" t="s">
        <v>1</v>
      </c>
    </row>
    <row r="62" spans="1:47" x14ac:dyDescent="0.3">
      <c r="B62">
        <v>40</v>
      </c>
      <c r="C62">
        <v>5</v>
      </c>
      <c r="D62" s="4">
        <f t="shared" si="55"/>
        <v>0.7142857142857143</v>
      </c>
      <c r="E62" s="1" t="s">
        <v>2</v>
      </c>
    </row>
    <row r="63" spans="1:47" x14ac:dyDescent="0.3">
      <c r="B63">
        <v>41</v>
      </c>
      <c r="C63">
        <v>3</v>
      </c>
      <c r="D63" s="4">
        <f t="shared" si="55"/>
        <v>0.5</v>
      </c>
      <c r="E63" s="1" t="s">
        <v>3</v>
      </c>
    </row>
    <row r="64" spans="1:47" x14ac:dyDescent="0.3">
      <c r="B64">
        <v>42</v>
      </c>
      <c r="C64">
        <v>7</v>
      </c>
      <c r="D64" s="4">
        <f t="shared" si="55"/>
        <v>0.58333333333333337</v>
      </c>
      <c r="E64" s="1" t="s">
        <v>4</v>
      </c>
    </row>
    <row r="65" spans="3:45" x14ac:dyDescent="0.3">
      <c r="C65">
        <v>2</v>
      </c>
      <c r="D65" s="4">
        <f t="shared" si="55"/>
        <v>0.5</v>
      </c>
      <c r="E65" s="1" t="s">
        <v>5</v>
      </c>
    </row>
    <row r="71" spans="3:45" x14ac:dyDescent="0.3">
      <c r="D71" s="20">
        <v>1</v>
      </c>
      <c r="E71" s="20">
        <v>0.6</v>
      </c>
      <c r="F71" s="20">
        <v>0.36</v>
      </c>
      <c r="G71" s="20">
        <v>0.6</v>
      </c>
      <c r="H71" s="20">
        <v>0.36</v>
      </c>
      <c r="I71" s="20">
        <v>0.216</v>
      </c>
      <c r="J71" s="20">
        <v>0.36</v>
      </c>
      <c r="K71" s="20">
        <v>0.216</v>
      </c>
      <c r="L71" s="20">
        <v>0.216</v>
      </c>
      <c r="M71" s="20">
        <v>0.12959999999999999</v>
      </c>
      <c r="N71" s="20">
        <v>7.7759999999999996E-2</v>
      </c>
      <c r="O71" s="20">
        <v>7.7759999999999996E-2</v>
      </c>
      <c r="P71" s="20">
        <v>4.6655999999999996E-2</v>
      </c>
      <c r="Q71" s="20">
        <v>0.216</v>
      </c>
      <c r="R71" s="20">
        <v>0.12959999999999999</v>
      </c>
      <c r="S71" s="20">
        <v>0.12959999999999999</v>
      </c>
      <c r="T71" s="20">
        <v>7.7759999999999996E-2</v>
      </c>
      <c r="U71" s="20">
        <v>7.7759999999999996E-2</v>
      </c>
      <c r="V71" s="20">
        <v>7.7759999999999996E-2</v>
      </c>
      <c r="W71" s="20">
        <v>4.6655999999999996E-2</v>
      </c>
      <c r="X71" s="20">
        <v>4.6655999999999996E-2</v>
      </c>
      <c r="Y71" s="20">
        <v>4.6655999999999996E-2</v>
      </c>
      <c r="Z71" s="20">
        <v>4.6655999999999996E-2</v>
      </c>
      <c r="AA71" s="20">
        <v>2.7993599999999997E-2</v>
      </c>
      <c r="AB71" s="20">
        <v>2.7993599999999997E-2</v>
      </c>
      <c r="AC71" s="20">
        <v>2.7993599999999997E-2</v>
      </c>
      <c r="AD71" s="20">
        <v>0.12959999999999999</v>
      </c>
      <c r="AE71" s="20">
        <v>0.216</v>
      </c>
      <c r="AF71" s="20">
        <v>0.36</v>
      </c>
      <c r="AG71" s="20">
        <v>0.6</v>
      </c>
      <c r="AH71" s="20">
        <v>0.36</v>
      </c>
      <c r="AI71" s="20">
        <v>0.12959999999999999</v>
      </c>
      <c r="AJ71" s="20">
        <v>0.216</v>
      </c>
      <c r="AK71" s="20">
        <v>0.36</v>
      </c>
      <c r="AL71" s="20">
        <v>0.36</v>
      </c>
      <c r="AM71" s="20">
        <v>7.7759999999999996E-2</v>
      </c>
      <c r="AN71" s="20">
        <v>0.12959999999999999</v>
      </c>
      <c r="AO71" s="20">
        <v>0.12959999999999999</v>
      </c>
      <c r="AP71" s="20">
        <v>7.7759999999999996E-2</v>
      </c>
      <c r="AQ71" s="20">
        <v>4.6655999999999996E-2</v>
      </c>
      <c r="AR71" s="20">
        <v>4.6655999999999996E-2</v>
      </c>
      <c r="AS71" s="20">
        <v>2.7993599999999997E-2</v>
      </c>
    </row>
    <row r="72" spans="3:45" x14ac:dyDescent="0.3">
      <c r="D72" s="20">
        <v>0.6</v>
      </c>
      <c r="E72" s="20">
        <v>1</v>
      </c>
      <c r="F72" s="20">
        <v>0.6</v>
      </c>
      <c r="G72" s="20">
        <v>0.6</v>
      </c>
      <c r="H72" s="20">
        <v>0.6</v>
      </c>
      <c r="I72" s="20">
        <v>0.36</v>
      </c>
      <c r="J72" s="20">
        <v>0.36</v>
      </c>
      <c r="K72" s="20">
        <v>0.36</v>
      </c>
      <c r="L72" s="20">
        <v>0.216</v>
      </c>
      <c r="M72" s="20">
        <v>0.12959999999999999</v>
      </c>
      <c r="N72" s="20">
        <v>7.7759999999999996E-2</v>
      </c>
      <c r="O72" s="20">
        <v>7.7759999999999996E-2</v>
      </c>
      <c r="P72" s="20">
        <v>4.6655999999999996E-2</v>
      </c>
      <c r="Q72" s="20">
        <v>0.36</v>
      </c>
      <c r="R72" s="20">
        <v>0.216</v>
      </c>
      <c r="S72" s="20">
        <v>0.216</v>
      </c>
      <c r="T72" s="20">
        <v>0.12959999999999999</v>
      </c>
      <c r="U72" s="20">
        <v>0.12959999999999999</v>
      </c>
      <c r="V72" s="20">
        <v>0.12959999999999999</v>
      </c>
      <c r="W72" s="20">
        <v>7.7759999999999996E-2</v>
      </c>
      <c r="X72" s="20">
        <v>7.7759999999999996E-2</v>
      </c>
      <c r="Y72" s="20">
        <v>4.6655999999999996E-2</v>
      </c>
      <c r="Z72" s="20">
        <v>4.6655999999999996E-2</v>
      </c>
      <c r="AA72" s="20">
        <v>4.6655999999999996E-2</v>
      </c>
      <c r="AB72" s="20">
        <v>2.7993599999999997E-2</v>
      </c>
      <c r="AC72" s="20">
        <v>2.7993599999999997E-2</v>
      </c>
      <c r="AD72" s="20">
        <v>7.7759999999999996E-2</v>
      </c>
      <c r="AE72" s="20">
        <v>0.12959999999999999</v>
      </c>
      <c r="AF72" s="20">
        <v>0.216</v>
      </c>
      <c r="AG72" s="20">
        <v>0.36</v>
      </c>
      <c r="AH72" s="20">
        <v>0.216</v>
      </c>
      <c r="AI72" s="20">
        <v>7.7759999999999996E-2</v>
      </c>
      <c r="AJ72" s="20">
        <v>0.12959999999999999</v>
      </c>
      <c r="AK72" s="20">
        <v>0.216</v>
      </c>
      <c r="AL72" s="20">
        <v>0.216</v>
      </c>
      <c r="AM72" s="20">
        <v>7.7759999999999996E-2</v>
      </c>
      <c r="AN72" s="20">
        <v>7.7759999999999996E-2</v>
      </c>
      <c r="AO72" s="20">
        <v>7.7759999999999996E-2</v>
      </c>
      <c r="AP72" s="20">
        <v>4.6655999999999996E-2</v>
      </c>
      <c r="AQ72" s="20">
        <v>2.7993599999999997E-2</v>
      </c>
      <c r="AR72" s="20">
        <v>2.7993599999999997E-2</v>
      </c>
      <c r="AS72" s="20">
        <v>1.6796159999999997E-2</v>
      </c>
    </row>
    <row r="73" spans="3:45" x14ac:dyDescent="0.3">
      <c r="D73" s="20">
        <v>0.36</v>
      </c>
      <c r="E73" s="20">
        <v>0.6</v>
      </c>
      <c r="F73" s="20">
        <v>1</v>
      </c>
      <c r="G73" s="20">
        <v>0.36</v>
      </c>
      <c r="H73" s="20">
        <v>0.6</v>
      </c>
      <c r="I73" s="20">
        <v>0.6</v>
      </c>
      <c r="J73" s="20">
        <v>0.36</v>
      </c>
      <c r="K73" s="20">
        <v>0.36</v>
      </c>
      <c r="L73" s="20">
        <v>0.216</v>
      </c>
      <c r="M73" s="20">
        <v>0.12959999999999999</v>
      </c>
      <c r="N73" s="20">
        <v>7.7759999999999996E-2</v>
      </c>
      <c r="O73" s="20">
        <v>7.7759999999999996E-2</v>
      </c>
      <c r="P73" s="20">
        <v>4.6655999999999996E-2</v>
      </c>
      <c r="Q73" s="20">
        <v>0.6</v>
      </c>
      <c r="R73" s="20">
        <v>0.36</v>
      </c>
      <c r="S73" s="20">
        <v>0.36</v>
      </c>
      <c r="T73" s="20">
        <v>0.216</v>
      </c>
      <c r="U73" s="20">
        <v>0.216</v>
      </c>
      <c r="V73" s="20">
        <v>0.216</v>
      </c>
      <c r="W73" s="20">
        <v>0.12959999999999999</v>
      </c>
      <c r="X73" s="20">
        <v>0.12959999999999999</v>
      </c>
      <c r="Y73" s="20">
        <v>7.7759999999999996E-2</v>
      </c>
      <c r="Z73" s="20">
        <v>7.7759999999999996E-2</v>
      </c>
      <c r="AA73" s="20">
        <v>7.7759999999999996E-2</v>
      </c>
      <c r="AB73" s="20">
        <v>4.6655999999999996E-2</v>
      </c>
      <c r="AC73" s="20">
        <v>4.6655999999999996E-2</v>
      </c>
      <c r="AD73" s="20">
        <v>0.12959999999999999</v>
      </c>
      <c r="AE73" s="20">
        <v>7.7759999999999996E-2</v>
      </c>
      <c r="AF73" s="20">
        <v>0.12959999999999999</v>
      </c>
      <c r="AG73" s="20">
        <v>0.216</v>
      </c>
      <c r="AH73" s="20">
        <v>0.12959999999999999</v>
      </c>
      <c r="AI73" s="20">
        <v>0.12959999999999999</v>
      </c>
      <c r="AJ73" s="20">
        <v>7.7759999999999996E-2</v>
      </c>
      <c r="AK73" s="20">
        <v>0.12959999999999999</v>
      </c>
      <c r="AL73" s="20">
        <v>0.12959999999999999</v>
      </c>
      <c r="AM73" s="20">
        <v>0.12959999999999999</v>
      </c>
      <c r="AN73" s="20">
        <v>7.7759999999999996E-2</v>
      </c>
      <c r="AO73" s="20">
        <v>4.6655999999999996E-2</v>
      </c>
      <c r="AP73" s="20">
        <v>2.7993599999999997E-2</v>
      </c>
      <c r="AQ73" s="20">
        <v>1.6796159999999997E-2</v>
      </c>
      <c r="AR73" s="20">
        <v>1.6796159999999997E-2</v>
      </c>
      <c r="AS73" s="20">
        <v>1.0077695999999999E-2</v>
      </c>
    </row>
    <row r="74" spans="3:45" x14ac:dyDescent="0.3">
      <c r="D74" s="20">
        <v>0.6</v>
      </c>
      <c r="E74" s="20">
        <v>0.6</v>
      </c>
      <c r="F74" s="20">
        <v>0.36</v>
      </c>
      <c r="G74" s="20">
        <v>1</v>
      </c>
      <c r="H74" s="20">
        <v>0.6</v>
      </c>
      <c r="I74" s="20">
        <v>0.36</v>
      </c>
      <c r="J74" s="20">
        <v>0.6</v>
      </c>
      <c r="K74" s="20">
        <v>0.36</v>
      </c>
      <c r="L74" s="20">
        <v>0.36</v>
      </c>
      <c r="M74" s="20">
        <v>0.216</v>
      </c>
      <c r="N74" s="20">
        <v>0.12959999999999999</v>
      </c>
      <c r="O74" s="20">
        <v>0.12959999999999999</v>
      </c>
      <c r="P74" s="20">
        <v>7.7759999999999996E-2</v>
      </c>
      <c r="Q74" s="20">
        <v>0.216</v>
      </c>
      <c r="R74" s="20">
        <v>0.12959999999999999</v>
      </c>
      <c r="S74" s="20">
        <v>0.12959999999999999</v>
      </c>
      <c r="T74" s="20">
        <v>7.7759999999999996E-2</v>
      </c>
      <c r="U74" s="20">
        <v>7.7759999999999996E-2</v>
      </c>
      <c r="V74" s="20">
        <v>7.7759999999999996E-2</v>
      </c>
      <c r="W74" s="20">
        <v>4.6655999999999996E-2</v>
      </c>
      <c r="X74" s="20">
        <v>7.7759999999999996E-2</v>
      </c>
      <c r="Y74" s="20">
        <v>4.6655999999999996E-2</v>
      </c>
      <c r="Z74" s="20">
        <v>4.6655999999999996E-2</v>
      </c>
      <c r="AA74" s="20">
        <v>4.6655999999999996E-2</v>
      </c>
      <c r="AB74" s="20">
        <v>2.7993599999999997E-2</v>
      </c>
      <c r="AC74" s="20">
        <v>2.7993599999999997E-2</v>
      </c>
      <c r="AD74" s="20">
        <v>7.7759999999999996E-2</v>
      </c>
      <c r="AE74" s="20">
        <v>0.12959999999999999</v>
      </c>
      <c r="AF74" s="20">
        <v>0.216</v>
      </c>
      <c r="AG74" s="20">
        <v>0.36</v>
      </c>
      <c r="AH74" s="20">
        <v>0.216</v>
      </c>
      <c r="AI74" s="20">
        <v>7.7759999999999996E-2</v>
      </c>
      <c r="AJ74" s="20">
        <v>0.12959999999999999</v>
      </c>
      <c r="AK74" s="20">
        <v>0.216</v>
      </c>
      <c r="AL74" s="20">
        <v>0.216</v>
      </c>
      <c r="AM74" s="20">
        <v>4.6655999999999996E-2</v>
      </c>
      <c r="AN74" s="20">
        <v>7.7759999999999996E-2</v>
      </c>
      <c r="AO74" s="20">
        <v>7.7759999999999996E-2</v>
      </c>
      <c r="AP74" s="20">
        <v>4.6655999999999996E-2</v>
      </c>
      <c r="AQ74" s="20">
        <v>2.7993599999999997E-2</v>
      </c>
      <c r="AR74" s="20">
        <v>2.7993599999999997E-2</v>
      </c>
      <c r="AS74" s="20">
        <v>1.6796159999999997E-2</v>
      </c>
    </row>
    <row r="75" spans="3:45" x14ac:dyDescent="0.3">
      <c r="D75" s="20">
        <v>0.36</v>
      </c>
      <c r="E75" s="20">
        <v>0.6</v>
      </c>
      <c r="F75" s="20">
        <v>0.6</v>
      </c>
      <c r="G75" s="20">
        <v>0.6</v>
      </c>
      <c r="H75" s="20">
        <v>1</v>
      </c>
      <c r="I75" s="20">
        <v>0.6</v>
      </c>
      <c r="J75" s="20">
        <v>0.6</v>
      </c>
      <c r="K75" s="20">
        <v>0.6</v>
      </c>
      <c r="L75" s="20">
        <v>0.36</v>
      </c>
      <c r="M75" s="20">
        <v>0.216</v>
      </c>
      <c r="N75" s="20">
        <v>0.12959999999999999</v>
      </c>
      <c r="O75" s="20">
        <v>0.12959999999999999</v>
      </c>
      <c r="P75" s="20">
        <v>7.7759999999999996E-2</v>
      </c>
      <c r="Q75" s="20">
        <v>0.36</v>
      </c>
      <c r="R75" s="20">
        <v>0.216</v>
      </c>
      <c r="S75" s="20">
        <v>0.216</v>
      </c>
      <c r="T75" s="20">
        <v>0.12959999999999999</v>
      </c>
      <c r="U75" s="20">
        <v>0.12959999999999999</v>
      </c>
      <c r="V75" s="20">
        <v>0.12959999999999999</v>
      </c>
      <c r="W75" s="20">
        <v>7.7759999999999996E-2</v>
      </c>
      <c r="X75" s="20">
        <v>7.7759999999999996E-2</v>
      </c>
      <c r="Y75" s="20">
        <v>4.6655999999999996E-2</v>
      </c>
      <c r="Z75" s="20">
        <v>4.6655999999999996E-2</v>
      </c>
      <c r="AA75" s="20">
        <v>4.6655999999999996E-2</v>
      </c>
      <c r="AB75" s="20">
        <v>2.7993599999999997E-2</v>
      </c>
      <c r="AC75" s="20">
        <v>2.7993599999999997E-2</v>
      </c>
      <c r="AD75" s="20">
        <v>7.7759999999999996E-2</v>
      </c>
      <c r="AE75" s="20">
        <v>7.7759999999999996E-2</v>
      </c>
      <c r="AF75" s="20">
        <v>0.12959999999999999</v>
      </c>
      <c r="AG75" s="20">
        <v>0.216</v>
      </c>
      <c r="AH75" s="20">
        <v>0.12959999999999999</v>
      </c>
      <c r="AI75" s="20">
        <v>7.7759999999999996E-2</v>
      </c>
      <c r="AJ75" s="20">
        <v>7.7759999999999996E-2</v>
      </c>
      <c r="AK75" s="20">
        <v>0.12959999999999999</v>
      </c>
      <c r="AL75" s="20">
        <v>0.12959999999999999</v>
      </c>
      <c r="AM75" s="20">
        <v>7.7759999999999996E-2</v>
      </c>
      <c r="AN75" s="20">
        <v>4.6655999999999996E-2</v>
      </c>
      <c r="AO75" s="20">
        <v>4.6655999999999996E-2</v>
      </c>
      <c r="AP75" s="20">
        <v>2.7993599999999997E-2</v>
      </c>
      <c r="AQ75" s="20">
        <v>1.6796159999999997E-2</v>
      </c>
      <c r="AR75" s="20">
        <v>1.6796159999999997E-2</v>
      </c>
      <c r="AS75" s="20">
        <v>1.0077695999999999E-2</v>
      </c>
    </row>
    <row r="76" spans="3:45" x14ac:dyDescent="0.3">
      <c r="D76" s="20">
        <v>0.216</v>
      </c>
      <c r="E76" s="20">
        <v>0.36</v>
      </c>
      <c r="F76" s="20">
        <v>0.6</v>
      </c>
      <c r="G76" s="20">
        <v>0.36</v>
      </c>
      <c r="H76" s="20">
        <v>0.6</v>
      </c>
      <c r="I76" s="20">
        <v>1</v>
      </c>
      <c r="J76" s="20">
        <v>0.36</v>
      </c>
      <c r="K76" s="20">
        <v>0.6</v>
      </c>
      <c r="L76" s="20">
        <v>0.36</v>
      </c>
      <c r="M76" s="20">
        <v>0.216</v>
      </c>
      <c r="N76" s="20">
        <v>0.12959999999999999</v>
      </c>
      <c r="O76" s="20">
        <v>0.12959999999999999</v>
      </c>
      <c r="P76" s="20">
        <v>7.7759999999999996E-2</v>
      </c>
      <c r="Q76" s="20">
        <v>0.36</v>
      </c>
      <c r="R76" s="20">
        <v>0.216</v>
      </c>
      <c r="S76" s="20">
        <v>0.216</v>
      </c>
      <c r="T76" s="20">
        <v>0.12959999999999999</v>
      </c>
      <c r="U76" s="20">
        <v>0.12959999999999999</v>
      </c>
      <c r="V76" s="20">
        <v>0.12959999999999999</v>
      </c>
      <c r="W76" s="20">
        <v>7.7759999999999996E-2</v>
      </c>
      <c r="X76" s="20">
        <v>7.7759999999999996E-2</v>
      </c>
      <c r="Y76" s="20">
        <v>4.6655999999999996E-2</v>
      </c>
      <c r="Z76" s="20">
        <v>4.6655999999999996E-2</v>
      </c>
      <c r="AA76" s="20">
        <v>4.6655999999999996E-2</v>
      </c>
      <c r="AB76" s="20">
        <v>2.7993599999999997E-2</v>
      </c>
      <c r="AC76" s="20">
        <v>2.7993599999999997E-2</v>
      </c>
      <c r="AD76" s="20">
        <v>7.7759999999999996E-2</v>
      </c>
      <c r="AE76" s="20">
        <v>4.6655999999999996E-2</v>
      </c>
      <c r="AF76" s="20">
        <v>7.7759999999999996E-2</v>
      </c>
      <c r="AG76" s="20">
        <v>0.12959999999999999</v>
      </c>
      <c r="AH76" s="20">
        <v>7.7759999999999996E-2</v>
      </c>
      <c r="AI76" s="20">
        <v>7.7759999999999996E-2</v>
      </c>
      <c r="AJ76" s="20">
        <v>4.6655999999999996E-2</v>
      </c>
      <c r="AK76" s="20">
        <v>7.7759999999999996E-2</v>
      </c>
      <c r="AL76" s="20">
        <v>7.7759999999999996E-2</v>
      </c>
      <c r="AM76" s="20">
        <v>7.7759999999999996E-2</v>
      </c>
      <c r="AN76" s="20">
        <v>4.6655999999999996E-2</v>
      </c>
      <c r="AO76" s="20">
        <v>2.7993599999999997E-2</v>
      </c>
      <c r="AP76" s="20">
        <v>1.6796159999999997E-2</v>
      </c>
      <c r="AQ76" s="20">
        <v>1.0077695999999999E-2</v>
      </c>
      <c r="AR76" s="20">
        <v>1.0077695999999999E-2</v>
      </c>
      <c r="AS76" s="20">
        <v>6.0466175999999991E-3</v>
      </c>
    </row>
    <row r="77" spans="3:45" x14ac:dyDescent="0.3">
      <c r="D77" s="20">
        <v>0.36</v>
      </c>
      <c r="E77" s="20">
        <v>0.36</v>
      </c>
      <c r="F77" s="20">
        <v>0.36</v>
      </c>
      <c r="G77" s="20">
        <v>0.6</v>
      </c>
      <c r="H77" s="20">
        <v>0.6</v>
      </c>
      <c r="I77" s="20">
        <v>0.36</v>
      </c>
      <c r="J77" s="20">
        <v>1</v>
      </c>
      <c r="K77" s="20">
        <v>0.6</v>
      </c>
      <c r="L77" s="20">
        <v>0.6</v>
      </c>
      <c r="M77" s="20">
        <v>0.36</v>
      </c>
      <c r="N77" s="20">
        <v>0.216</v>
      </c>
      <c r="O77" s="20">
        <v>0.216</v>
      </c>
      <c r="P77" s="20">
        <v>0.12959999999999999</v>
      </c>
      <c r="Q77" s="20">
        <v>0.216</v>
      </c>
      <c r="R77" s="20">
        <v>0.12959999999999999</v>
      </c>
      <c r="S77" s="20">
        <v>0.12959999999999999</v>
      </c>
      <c r="T77" s="20">
        <v>7.7759999999999996E-2</v>
      </c>
      <c r="U77" s="20">
        <v>7.7759999999999996E-2</v>
      </c>
      <c r="V77" s="20">
        <v>7.7759999999999996E-2</v>
      </c>
      <c r="W77" s="20">
        <v>7.7759999999999996E-2</v>
      </c>
      <c r="X77" s="20">
        <v>0.12959999999999999</v>
      </c>
      <c r="Y77" s="20">
        <v>7.7759999999999996E-2</v>
      </c>
      <c r="Z77" s="20">
        <v>7.7759999999999996E-2</v>
      </c>
      <c r="AA77" s="20">
        <v>7.7759999999999996E-2</v>
      </c>
      <c r="AB77" s="20">
        <v>4.6655999999999996E-2</v>
      </c>
      <c r="AC77" s="20">
        <v>4.6655999999999996E-2</v>
      </c>
      <c r="AD77" s="20">
        <v>4.6655999999999996E-2</v>
      </c>
      <c r="AE77" s="20">
        <v>7.7759999999999996E-2</v>
      </c>
      <c r="AF77" s="20">
        <v>0.12959999999999999</v>
      </c>
      <c r="AG77" s="20">
        <v>0.216</v>
      </c>
      <c r="AH77" s="20">
        <v>0.12959999999999999</v>
      </c>
      <c r="AI77" s="20">
        <v>4.6655999999999996E-2</v>
      </c>
      <c r="AJ77" s="20">
        <v>7.7759999999999996E-2</v>
      </c>
      <c r="AK77" s="20">
        <v>0.12959999999999999</v>
      </c>
      <c r="AL77" s="20">
        <v>0.12959999999999999</v>
      </c>
      <c r="AM77" s="20">
        <v>4.6655999999999996E-2</v>
      </c>
      <c r="AN77" s="20">
        <v>4.6655999999999996E-2</v>
      </c>
      <c r="AO77" s="20">
        <v>4.6655999999999996E-2</v>
      </c>
      <c r="AP77" s="20">
        <v>2.7993599999999997E-2</v>
      </c>
      <c r="AQ77" s="20">
        <v>1.6796159999999997E-2</v>
      </c>
      <c r="AR77" s="20">
        <v>1.6796159999999997E-2</v>
      </c>
      <c r="AS77" s="20">
        <v>1.0077695999999999E-2</v>
      </c>
    </row>
    <row r="78" spans="3:45" x14ac:dyDescent="0.3">
      <c r="D78" s="20">
        <v>0.216</v>
      </c>
      <c r="E78" s="20">
        <v>0.36</v>
      </c>
      <c r="F78" s="20">
        <v>0.36</v>
      </c>
      <c r="G78" s="20">
        <v>0.36</v>
      </c>
      <c r="H78" s="20">
        <v>0.6</v>
      </c>
      <c r="I78" s="20">
        <v>0.6</v>
      </c>
      <c r="J78" s="20">
        <v>0.6</v>
      </c>
      <c r="K78" s="20">
        <v>1</v>
      </c>
      <c r="L78" s="20">
        <v>0.6</v>
      </c>
      <c r="M78" s="20">
        <v>0.36</v>
      </c>
      <c r="N78" s="20">
        <v>0.216</v>
      </c>
      <c r="O78" s="20">
        <v>0.216</v>
      </c>
      <c r="P78" s="20">
        <v>0.12959999999999999</v>
      </c>
      <c r="Q78" s="20">
        <v>0.216</v>
      </c>
      <c r="R78" s="20">
        <v>0.12959999999999999</v>
      </c>
      <c r="S78" s="20">
        <v>0.12959999999999999</v>
      </c>
      <c r="T78" s="20">
        <v>7.7759999999999996E-2</v>
      </c>
      <c r="U78" s="20">
        <v>7.7759999999999996E-2</v>
      </c>
      <c r="V78" s="20">
        <v>7.7759999999999996E-2</v>
      </c>
      <c r="W78" s="20">
        <v>7.7759999999999996E-2</v>
      </c>
      <c r="X78" s="20">
        <v>0.12959999999999999</v>
      </c>
      <c r="Y78" s="20">
        <v>7.7759999999999996E-2</v>
      </c>
      <c r="Z78" s="20">
        <v>7.7759999999999996E-2</v>
      </c>
      <c r="AA78" s="20">
        <v>7.7759999999999996E-2</v>
      </c>
      <c r="AB78" s="20">
        <v>4.6655999999999996E-2</v>
      </c>
      <c r="AC78" s="20">
        <v>4.6655999999999996E-2</v>
      </c>
      <c r="AD78" s="20">
        <v>4.6655999999999996E-2</v>
      </c>
      <c r="AE78" s="20">
        <v>4.6655999999999996E-2</v>
      </c>
      <c r="AF78" s="20">
        <v>7.7759999999999996E-2</v>
      </c>
      <c r="AG78" s="20">
        <v>0.12959999999999999</v>
      </c>
      <c r="AH78" s="20">
        <v>7.7759999999999996E-2</v>
      </c>
      <c r="AI78" s="20">
        <v>4.6655999999999996E-2</v>
      </c>
      <c r="AJ78" s="20">
        <v>4.6655999999999996E-2</v>
      </c>
      <c r="AK78" s="20">
        <v>7.7759999999999996E-2</v>
      </c>
      <c r="AL78" s="20">
        <v>7.7759999999999996E-2</v>
      </c>
      <c r="AM78" s="20">
        <v>4.6655999999999996E-2</v>
      </c>
      <c r="AN78" s="20">
        <v>2.7993599999999997E-2</v>
      </c>
      <c r="AO78" s="20">
        <v>2.7993599999999997E-2</v>
      </c>
      <c r="AP78" s="20">
        <v>1.6796159999999997E-2</v>
      </c>
      <c r="AQ78" s="20">
        <v>1.0077695999999999E-2</v>
      </c>
      <c r="AR78" s="20">
        <v>1.0077695999999999E-2</v>
      </c>
      <c r="AS78" s="20">
        <v>6.0466175999999991E-3</v>
      </c>
    </row>
    <row r="79" spans="3:45" x14ac:dyDescent="0.3">
      <c r="D79" s="20">
        <v>0.216</v>
      </c>
      <c r="E79" s="20">
        <v>0.216</v>
      </c>
      <c r="F79" s="20">
        <v>0.216</v>
      </c>
      <c r="G79" s="20">
        <v>0.36</v>
      </c>
      <c r="H79" s="20">
        <v>0.36</v>
      </c>
      <c r="I79" s="20">
        <v>0.36</v>
      </c>
      <c r="J79" s="20">
        <v>0.6</v>
      </c>
      <c r="K79" s="20">
        <v>0.6</v>
      </c>
      <c r="L79" s="20">
        <v>1</v>
      </c>
      <c r="M79" s="20">
        <v>0.6</v>
      </c>
      <c r="N79" s="20">
        <v>0.36</v>
      </c>
      <c r="O79" s="20">
        <v>0.36</v>
      </c>
      <c r="P79" s="20">
        <v>0.216</v>
      </c>
      <c r="Q79" s="20">
        <v>0.12959999999999999</v>
      </c>
      <c r="R79" s="20">
        <v>7.7759999999999996E-2</v>
      </c>
      <c r="S79" s="20">
        <v>7.7759999999999996E-2</v>
      </c>
      <c r="T79" s="20">
        <v>7.7759999999999996E-2</v>
      </c>
      <c r="U79" s="20">
        <v>0.12959999999999999</v>
      </c>
      <c r="V79" s="20">
        <v>7.7759999999999996E-2</v>
      </c>
      <c r="W79" s="20">
        <v>0.12959999999999999</v>
      </c>
      <c r="X79" s="20">
        <v>0.216</v>
      </c>
      <c r="Y79" s="20">
        <v>0.12959999999999999</v>
      </c>
      <c r="Z79" s="20">
        <v>0.12959999999999999</v>
      </c>
      <c r="AA79" s="20">
        <v>0.12959999999999999</v>
      </c>
      <c r="AB79" s="20">
        <v>7.7759999999999996E-2</v>
      </c>
      <c r="AC79" s="20">
        <v>7.7759999999999996E-2</v>
      </c>
      <c r="AD79" s="20">
        <v>4.6655999999999996E-2</v>
      </c>
      <c r="AE79" s="20">
        <v>4.6655999999999996E-2</v>
      </c>
      <c r="AF79" s="20">
        <v>7.7759999999999996E-2</v>
      </c>
      <c r="AG79" s="20">
        <v>0.12959999999999999</v>
      </c>
      <c r="AH79" s="20">
        <v>7.7759999999999996E-2</v>
      </c>
      <c r="AI79" s="20">
        <v>4.6655999999999996E-2</v>
      </c>
      <c r="AJ79" s="20">
        <v>4.6655999999999996E-2</v>
      </c>
      <c r="AK79" s="20">
        <v>7.7759999999999996E-2</v>
      </c>
      <c r="AL79" s="20">
        <v>7.7759999999999996E-2</v>
      </c>
      <c r="AM79" s="20">
        <v>7.7759999999999996E-2</v>
      </c>
      <c r="AN79" s="20">
        <v>4.6655999999999996E-2</v>
      </c>
      <c r="AO79" s="20">
        <v>2.7993599999999997E-2</v>
      </c>
      <c r="AP79" s="20">
        <v>1.6796159999999997E-2</v>
      </c>
      <c r="AQ79" s="20">
        <v>1.0077695999999999E-2</v>
      </c>
      <c r="AR79" s="20">
        <v>1.0077695999999999E-2</v>
      </c>
      <c r="AS79" s="20">
        <v>6.0466175999999991E-3</v>
      </c>
    </row>
    <row r="80" spans="3:45" x14ac:dyDescent="0.3">
      <c r="D80" s="20">
        <v>0.12959999999999999</v>
      </c>
      <c r="E80" s="20">
        <v>0.12959999999999999</v>
      </c>
      <c r="F80" s="20">
        <v>0.12959999999999999</v>
      </c>
      <c r="G80" s="20">
        <v>0.216</v>
      </c>
      <c r="H80" s="20">
        <v>0.216</v>
      </c>
      <c r="I80" s="20">
        <v>0.216</v>
      </c>
      <c r="J80" s="20">
        <v>0.36</v>
      </c>
      <c r="K80" s="20">
        <v>0.36</v>
      </c>
      <c r="L80" s="20">
        <v>0.6</v>
      </c>
      <c r="M80" s="20">
        <v>1</v>
      </c>
      <c r="N80" s="20">
        <v>0.6</v>
      </c>
      <c r="O80" s="20">
        <v>0.6</v>
      </c>
      <c r="P80" s="20">
        <v>0.36</v>
      </c>
      <c r="Q80" s="20">
        <v>7.7759999999999996E-2</v>
      </c>
      <c r="R80" s="20">
        <v>0.12959999999999999</v>
      </c>
      <c r="S80" s="20">
        <v>7.7759999999999996E-2</v>
      </c>
      <c r="T80" s="20">
        <v>0.12959999999999999</v>
      </c>
      <c r="U80" s="20">
        <v>0.216</v>
      </c>
      <c r="V80" s="20">
        <v>0.12959999999999999</v>
      </c>
      <c r="W80" s="20">
        <v>0.216</v>
      </c>
      <c r="X80" s="20">
        <v>0.36</v>
      </c>
      <c r="Y80" s="20">
        <v>0.216</v>
      </c>
      <c r="Z80" s="20">
        <v>0.216</v>
      </c>
      <c r="AA80" s="20">
        <v>0.216</v>
      </c>
      <c r="AB80" s="20">
        <v>0.12959999999999999</v>
      </c>
      <c r="AC80" s="20">
        <v>0.12959999999999999</v>
      </c>
      <c r="AD80" s="20">
        <v>7.7759999999999996E-2</v>
      </c>
      <c r="AE80" s="20">
        <v>4.6655999999999996E-2</v>
      </c>
      <c r="AF80" s="20">
        <v>4.6655999999999996E-2</v>
      </c>
      <c r="AG80" s="20">
        <v>7.7759999999999996E-2</v>
      </c>
      <c r="AH80" s="20">
        <v>4.6655999999999996E-2</v>
      </c>
      <c r="AI80" s="20">
        <v>7.7759999999999996E-2</v>
      </c>
      <c r="AJ80" s="20">
        <v>4.6655999999999996E-2</v>
      </c>
      <c r="AK80" s="20">
        <v>4.6655999999999996E-2</v>
      </c>
      <c r="AL80" s="20">
        <v>4.6655999999999996E-2</v>
      </c>
      <c r="AM80" s="20">
        <v>0.12959999999999999</v>
      </c>
      <c r="AN80" s="20">
        <v>7.7759999999999996E-2</v>
      </c>
      <c r="AO80" s="20">
        <v>4.6655999999999996E-2</v>
      </c>
      <c r="AP80" s="20">
        <v>2.7993599999999997E-2</v>
      </c>
      <c r="AQ80" s="20">
        <v>1.6796159999999997E-2</v>
      </c>
      <c r="AR80" s="20">
        <v>1.6796159999999997E-2</v>
      </c>
      <c r="AS80" s="20">
        <v>1.0077695999999999E-2</v>
      </c>
    </row>
    <row r="81" spans="4:45" x14ac:dyDescent="0.3">
      <c r="D81" s="20">
        <v>7.7759999999999996E-2</v>
      </c>
      <c r="E81" s="20">
        <v>7.7759999999999996E-2</v>
      </c>
      <c r="F81" s="20">
        <v>7.7759999999999996E-2</v>
      </c>
      <c r="G81" s="20">
        <v>0.12959999999999999</v>
      </c>
      <c r="H81" s="20">
        <v>0.12959999999999999</v>
      </c>
      <c r="I81" s="20">
        <v>0.12959999999999999</v>
      </c>
      <c r="J81" s="20">
        <v>0.216</v>
      </c>
      <c r="K81" s="20">
        <v>0.216</v>
      </c>
      <c r="L81" s="20">
        <v>0.36</v>
      </c>
      <c r="M81" s="20">
        <v>0.6</v>
      </c>
      <c r="N81" s="20">
        <v>1</v>
      </c>
      <c r="O81" s="20">
        <v>0.6</v>
      </c>
      <c r="P81" s="20">
        <v>0.6</v>
      </c>
      <c r="Q81" s="20">
        <v>7.7759999999999996E-2</v>
      </c>
      <c r="R81" s="20">
        <v>0.12959999999999999</v>
      </c>
      <c r="S81" s="20">
        <v>7.7759999999999996E-2</v>
      </c>
      <c r="T81" s="20">
        <v>0.12959999999999999</v>
      </c>
      <c r="U81" s="20">
        <v>0.216</v>
      </c>
      <c r="V81" s="20">
        <v>0.12959999999999999</v>
      </c>
      <c r="W81" s="20">
        <v>0.216</v>
      </c>
      <c r="X81" s="20">
        <v>0.36</v>
      </c>
      <c r="Y81" s="20">
        <v>0.216</v>
      </c>
      <c r="Z81" s="20">
        <v>0.216</v>
      </c>
      <c r="AA81" s="20">
        <v>0.216</v>
      </c>
      <c r="AB81" s="20">
        <v>0.12959999999999999</v>
      </c>
      <c r="AC81" s="20">
        <v>0.12959999999999999</v>
      </c>
      <c r="AD81" s="20">
        <v>7.7759999999999996E-2</v>
      </c>
      <c r="AE81" s="20">
        <v>4.6655999999999996E-2</v>
      </c>
      <c r="AF81" s="20">
        <v>2.7993599999999997E-2</v>
      </c>
      <c r="AG81" s="20">
        <v>4.6655999999999996E-2</v>
      </c>
      <c r="AH81" s="20">
        <v>2.7993599999999997E-2</v>
      </c>
      <c r="AI81" s="20">
        <v>7.7759999999999996E-2</v>
      </c>
      <c r="AJ81" s="20">
        <v>4.6655999999999996E-2</v>
      </c>
      <c r="AK81" s="20">
        <v>2.7993599999999997E-2</v>
      </c>
      <c r="AL81" s="20">
        <v>2.7993599999999997E-2</v>
      </c>
      <c r="AM81" s="20">
        <v>0.12959999999999999</v>
      </c>
      <c r="AN81" s="20">
        <v>7.7759999999999996E-2</v>
      </c>
      <c r="AO81" s="20">
        <v>4.6655999999999996E-2</v>
      </c>
      <c r="AP81" s="20">
        <v>2.7993599999999997E-2</v>
      </c>
      <c r="AQ81" s="20">
        <v>1.6796159999999997E-2</v>
      </c>
      <c r="AR81" s="20">
        <v>1.6796159999999997E-2</v>
      </c>
      <c r="AS81" s="20">
        <v>1.0077695999999999E-2</v>
      </c>
    </row>
    <row r="82" spans="4:45" x14ac:dyDescent="0.3">
      <c r="D82" s="20">
        <v>7.7759999999999996E-2</v>
      </c>
      <c r="E82" s="20">
        <v>7.7759999999999996E-2</v>
      </c>
      <c r="F82" s="20">
        <v>7.7759999999999996E-2</v>
      </c>
      <c r="G82" s="20">
        <v>0.12959999999999999</v>
      </c>
      <c r="H82" s="20">
        <v>0.12959999999999999</v>
      </c>
      <c r="I82" s="20">
        <v>0.12959999999999999</v>
      </c>
      <c r="J82" s="20">
        <v>0.216</v>
      </c>
      <c r="K82" s="20">
        <v>0.216</v>
      </c>
      <c r="L82" s="20">
        <v>0.36</v>
      </c>
      <c r="M82" s="20">
        <v>0.6</v>
      </c>
      <c r="N82" s="20">
        <v>0.6</v>
      </c>
      <c r="O82" s="20">
        <v>1</v>
      </c>
      <c r="P82" s="20">
        <v>0.6</v>
      </c>
      <c r="Q82" s="20">
        <v>0.12959999999999999</v>
      </c>
      <c r="R82" s="20">
        <v>0.216</v>
      </c>
      <c r="S82" s="20">
        <v>0.12959999999999999</v>
      </c>
      <c r="T82" s="20">
        <v>0.216</v>
      </c>
      <c r="U82" s="20">
        <v>0.36</v>
      </c>
      <c r="V82" s="20">
        <v>0.216</v>
      </c>
      <c r="W82" s="20">
        <v>0.36</v>
      </c>
      <c r="X82" s="20">
        <v>0.6</v>
      </c>
      <c r="Y82" s="20">
        <v>0.36</v>
      </c>
      <c r="Z82" s="20">
        <v>0.36</v>
      </c>
      <c r="AA82" s="20">
        <v>0.36</v>
      </c>
      <c r="AB82" s="20">
        <v>0.216</v>
      </c>
      <c r="AC82" s="20">
        <v>0.216</v>
      </c>
      <c r="AD82" s="20">
        <v>0.12959999999999999</v>
      </c>
      <c r="AE82" s="20">
        <v>7.7759999999999996E-2</v>
      </c>
      <c r="AF82" s="20">
        <v>4.6655999999999996E-2</v>
      </c>
      <c r="AG82" s="20">
        <v>4.6655999999999996E-2</v>
      </c>
      <c r="AH82" s="20">
        <v>4.6655999999999996E-2</v>
      </c>
      <c r="AI82" s="20">
        <v>0.12959999999999999</v>
      </c>
      <c r="AJ82" s="20">
        <v>7.7759999999999996E-2</v>
      </c>
      <c r="AK82" s="20">
        <v>4.6655999999999996E-2</v>
      </c>
      <c r="AL82" s="20">
        <v>2.7993599999999997E-2</v>
      </c>
      <c r="AM82" s="20">
        <v>0.216</v>
      </c>
      <c r="AN82" s="20">
        <v>0.12959999999999999</v>
      </c>
      <c r="AO82" s="20">
        <v>7.7759999999999996E-2</v>
      </c>
      <c r="AP82" s="20">
        <v>4.6655999999999996E-2</v>
      </c>
      <c r="AQ82" s="20">
        <v>2.7993599999999997E-2</v>
      </c>
      <c r="AR82" s="20">
        <v>2.7993599999999997E-2</v>
      </c>
      <c r="AS82" s="20">
        <v>1.6796159999999997E-2</v>
      </c>
    </row>
    <row r="83" spans="4:45" x14ac:dyDescent="0.3">
      <c r="D83" s="20">
        <v>4.6655999999999996E-2</v>
      </c>
      <c r="E83" s="20">
        <v>4.6655999999999996E-2</v>
      </c>
      <c r="F83" s="20">
        <v>4.6655999999999996E-2</v>
      </c>
      <c r="G83" s="20">
        <v>7.7759999999999996E-2</v>
      </c>
      <c r="H83" s="20">
        <v>7.7759999999999996E-2</v>
      </c>
      <c r="I83" s="20">
        <v>7.7759999999999996E-2</v>
      </c>
      <c r="J83" s="20">
        <v>0.12959999999999999</v>
      </c>
      <c r="K83" s="20">
        <v>0.12959999999999999</v>
      </c>
      <c r="L83" s="20">
        <v>0.216</v>
      </c>
      <c r="M83" s="20">
        <v>0.36</v>
      </c>
      <c r="N83" s="20">
        <v>0.6</v>
      </c>
      <c r="O83" s="20">
        <v>0.6</v>
      </c>
      <c r="P83" s="20">
        <v>1</v>
      </c>
      <c r="Q83" s="20">
        <v>7.7759999999999996E-2</v>
      </c>
      <c r="R83" s="20">
        <v>0.12959999999999999</v>
      </c>
      <c r="S83" s="20">
        <v>7.7759999999999996E-2</v>
      </c>
      <c r="T83" s="20">
        <v>0.12959999999999999</v>
      </c>
      <c r="U83" s="20">
        <v>0.216</v>
      </c>
      <c r="V83" s="20">
        <v>0.12959999999999999</v>
      </c>
      <c r="W83" s="20">
        <v>0.216</v>
      </c>
      <c r="X83" s="20">
        <v>0.36</v>
      </c>
      <c r="Y83" s="20">
        <v>0.216</v>
      </c>
      <c r="Z83" s="20">
        <v>0.216</v>
      </c>
      <c r="AA83" s="20">
        <v>0.216</v>
      </c>
      <c r="AB83" s="20">
        <v>0.12959999999999999</v>
      </c>
      <c r="AC83" s="20">
        <v>0.12959999999999999</v>
      </c>
      <c r="AD83" s="20">
        <v>7.7759999999999996E-2</v>
      </c>
      <c r="AE83" s="20">
        <v>4.6655999999999996E-2</v>
      </c>
      <c r="AF83" s="20">
        <v>2.7993599999999997E-2</v>
      </c>
      <c r="AG83" s="20">
        <v>2.7993599999999997E-2</v>
      </c>
      <c r="AH83" s="20">
        <v>2.7993599999999997E-2</v>
      </c>
      <c r="AI83" s="20">
        <v>7.7759999999999996E-2</v>
      </c>
      <c r="AJ83" s="20">
        <v>4.6655999999999996E-2</v>
      </c>
      <c r="AK83" s="20">
        <v>2.7993599999999997E-2</v>
      </c>
      <c r="AL83" s="20">
        <v>1.6796159999999997E-2</v>
      </c>
      <c r="AM83" s="20">
        <v>0.12959999999999999</v>
      </c>
      <c r="AN83" s="20">
        <v>7.7759999999999996E-2</v>
      </c>
      <c r="AO83" s="20">
        <v>4.6655999999999996E-2</v>
      </c>
      <c r="AP83" s="20">
        <v>2.7993599999999997E-2</v>
      </c>
      <c r="AQ83" s="20">
        <v>1.6796159999999997E-2</v>
      </c>
      <c r="AR83" s="20">
        <v>1.6796159999999997E-2</v>
      </c>
      <c r="AS83" s="20">
        <v>1.0077695999999999E-2</v>
      </c>
    </row>
    <row r="84" spans="4:45" x14ac:dyDescent="0.3">
      <c r="D84" s="20">
        <v>0.216</v>
      </c>
      <c r="E84" s="20">
        <v>0.36</v>
      </c>
      <c r="F84" s="20">
        <v>0.6</v>
      </c>
      <c r="G84" s="20">
        <v>0.216</v>
      </c>
      <c r="H84" s="20">
        <v>0.36</v>
      </c>
      <c r="I84" s="20">
        <v>0.36</v>
      </c>
      <c r="J84" s="20">
        <v>0.216</v>
      </c>
      <c r="K84" s="20">
        <v>0.216</v>
      </c>
      <c r="L84" s="20">
        <v>0.12959999999999999</v>
      </c>
      <c r="M84" s="20">
        <v>7.7759999999999996E-2</v>
      </c>
      <c r="N84" s="20">
        <v>7.7759999999999996E-2</v>
      </c>
      <c r="O84" s="20">
        <v>0.12959999999999999</v>
      </c>
      <c r="P84" s="20">
        <v>7.7759999999999996E-2</v>
      </c>
      <c r="Q84" s="20">
        <v>1</v>
      </c>
      <c r="R84" s="20">
        <v>0.6</v>
      </c>
      <c r="S84" s="20">
        <v>0.6</v>
      </c>
      <c r="T84" s="20">
        <v>0.36</v>
      </c>
      <c r="U84" s="20">
        <v>0.36</v>
      </c>
      <c r="V84" s="20">
        <v>0.36</v>
      </c>
      <c r="W84" s="20">
        <v>0.216</v>
      </c>
      <c r="X84" s="20">
        <v>0.216</v>
      </c>
      <c r="Y84" s="20">
        <v>0.12959999999999999</v>
      </c>
      <c r="Z84" s="20">
        <v>0.12959999999999999</v>
      </c>
      <c r="AA84" s="20">
        <v>0.12959999999999999</v>
      </c>
      <c r="AB84" s="20">
        <v>7.7759999999999996E-2</v>
      </c>
      <c r="AC84" s="20">
        <v>7.7759999999999996E-2</v>
      </c>
      <c r="AD84" s="20">
        <v>0.216</v>
      </c>
      <c r="AE84" s="20">
        <v>0.12959999999999999</v>
      </c>
      <c r="AF84" s="20">
        <v>7.7759999999999996E-2</v>
      </c>
      <c r="AG84" s="20">
        <v>0.12959999999999999</v>
      </c>
      <c r="AH84" s="20">
        <v>7.7759999999999996E-2</v>
      </c>
      <c r="AI84" s="20">
        <v>0.216</v>
      </c>
      <c r="AJ84" s="20">
        <v>0.12959999999999999</v>
      </c>
      <c r="AK84" s="20">
        <v>7.7759999999999996E-2</v>
      </c>
      <c r="AL84" s="20">
        <v>7.7759999999999996E-2</v>
      </c>
      <c r="AM84" s="20">
        <v>0.216</v>
      </c>
      <c r="AN84" s="20">
        <v>0.12959999999999999</v>
      </c>
      <c r="AO84" s="20">
        <v>7.7759999999999996E-2</v>
      </c>
      <c r="AP84" s="20">
        <v>4.6655999999999996E-2</v>
      </c>
      <c r="AQ84" s="20">
        <v>2.7993599999999997E-2</v>
      </c>
      <c r="AR84" s="20">
        <v>2.7993599999999997E-2</v>
      </c>
      <c r="AS84" s="20">
        <v>1.6796159999999997E-2</v>
      </c>
    </row>
    <row r="85" spans="4:45" x14ac:dyDescent="0.3">
      <c r="D85" s="20">
        <v>0.12959999999999999</v>
      </c>
      <c r="E85" s="20">
        <v>0.216</v>
      </c>
      <c r="F85" s="20">
        <v>0.36</v>
      </c>
      <c r="G85" s="20">
        <v>0.12959999999999999</v>
      </c>
      <c r="H85" s="20">
        <v>0.216</v>
      </c>
      <c r="I85" s="20">
        <v>0.216</v>
      </c>
      <c r="J85" s="20">
        <v>0.12959999999999999</v>
      </c>
      <c r="K85" s="20">
        <v>0.12959999999999999</v>
      </c>
      <c r="L85" s="20">
        <v>7.7759999999999996E-2</v>
      </c>
      <c r="M85" s="20">
        <v>0.12959999999999999</v>
      </c>
      <c r="N85" s="20">
        <v>0.12959999999999999</v>
      </c>
      <c r="O85" s="20">
        <v>0.216</v>
      </c>
      <c r="P85" s="20">
        <v>0.12959999999999999</v>
      </c>
      <c r="Q85" s="20">
        <v>0.6</v>
      </c>
      <c r="R85" s="20">
        <v>1</v>
      </c>
      <c r="S85" s="20">
        <v>0.6</v>
      </c>
      <c r="T85" s="20">
        <v>0.36</v>
      </c>
      <c r="U85" s="20">
        <v>0.6</v>
      </c>
      <c r="V85" s="20">
        <v>0.6</v>
      </c>
      <c r="W85" s="20">
        <v>0.36</v>
      </c>
      <c r="X85" s="20">
        <v>0.36</v>
      </c>
      <c r="Y85" s="20">
        <v>0.216</v>
      </c>
      <c r="Z85" s="20">
        <v>0.216</v>
      </c>
      <c r="AA85" s="20">
        <v>0.216</v>
      </c>
      <c r="AB85" s="20">
        <v>0.12959999999999999</v>
      </c>
      <c r="AC85" s="20">
        <v>0.12959999999999999</v>
      </c>
      <c r="AD85" s="20">
        <v>0.216</v>
      </c>
      <c r="AE85" s="20">
        <v>0.12959999999999999</v>
      </c>
      <c r="AF85" s="20">
        <v>7.7759999999999996E-2</v>
      </c>
      <c r="AG85" s="20">
        <v>7.7759999999999996E-2</v>
      </c>
      <c r="AH85" s="20">
        <v>7.7759999999999996E-2</v>
      </c>
      <c r="AI85" s="20">
        <v>0.216</v>
      </c>
      <c r="AJ85" s="20">
        <v>0.12959999999999999</v>
      </c>
      <c r="AK85" s="20">
        <v>7.7759999999999996E-2</v>
      </c>
      <c r="AL85" s="20">
        <v>4.6655999999999996E-2</v>
      </c>
      <c r="AM85" s="20">
        <v>0.216</v>
      </c>
      <c r="AN85" s="20">
        <v>0.12959999999999999</v>
      </c>
      <c r="AO85" s="20">
        <v>7.7759999999999996E-2</v>
      </c>
      <c r="AP85" s="20">
        <v>4.6655999999999996E-2</v>
      </c>
      <c r="AQ85" s="20">
        <v>2.7993599999999997E-2</v>
      </c>
      <c r="AR85" s="20">
        <v>2.7993599999999997E-2</v>
      </c>
      <c r="AS85" s="20">
        <v>1.6796159999999997E-2</v>
      </c>
    </row>
    <row r="86" spans="4:45" x14ac:dyDescent="0.3">
      <c r="D86" s="20">
        <v>0.12959999999999999</v>
      </c>
      <c r="E86" s="20">
        <v>0.216</v>
      </c>
      <c r="F86" s="20">
        <v>0.36</v>
      </c>
      <c r="G86" s="20">
        <v>0.12959999999999999</v>
      </c>
      <c r="H86" s="20">
        <v>0.216</v>
      </c>
      <c r="I86" s="20">
        <v>0.216</v>
      </c>
      <c r="J86" s="20">
        <v>0.12959999999999999</v>
      </c>
      <c r="K86" s="20">
        <v>0.12959999999999999</v>
      </c>
      <c r="L86" s="20">
        <v>7.7759999999999996E-2</v>
      </c>
      <c r="M86" s="20">
        <v>7.7759999999999996E-2</v>
      </c>
      <c r="N86" s="20">
        <v>7.7759999999999996E-2</v>
      </c>
      <c r="O86" s="20">
        <v>0.12959999999999999</v>
      </c>
      <c r="P86" s="20">
        <v>7.7759999999999996E-2</v>
      </c>
      <c r="Q86" s="20">
        <v>0.6</v>
      </c>
      <c r="R86" s="20">
        <v>0.6</v>
      </c>
      <c r="S86" s="20">
        <v>1</v>
      </c>
      <c r="T86" s="20">
        <v>0.6</v>
      </c>
      <c r="U86" s="20">
        <v>0.36</v>
      </c>
      <c r="V86" s="20">
        <v>0.36</v>
      </c>
      <c r="W86" s="20">
        <v>0.36</v>
      </c>
      <c r="X86" s="20">
        <v>0.216</v>
      </c>
      <c r="Y86" s="20">
        <v>0.216</v>
      </c>
      <c r="Z86" s="20">
        <v>0.216</v>
      </c>
      <c r="AA86" s="20">
        <v>0.12959999999999999</v>
      </c>
      <c r="AB86" s="20">
        <v>0.12959999999999999</v>
      </c>
      <c r="AC86" s="20">
        <v>0.12959999999999999</v>
      </c>
      <c r="AD86" s="20">
        <v>0.36</v>
      </c>
      <c r="AE86" s="20">
        <v>0.216</v>
      </c>
      <c r="AF86" s="20">
        <v>0.12959999999999999</v>
      </c>
      <c r="AG86" s="20">
        <v>7.7759999999999996E-2</v>
      </c>
      <c r="AH86" s="20">
        <v>0.12959999999999999</v>
      </c>
      <c r="AI86" s="20">
        <v>0.36</v>
      </c>
      <c r="AJ86" s="20">
        <v>0.216</v>
      </c>
      <c r="AK86" s="20">
        <v>0.12959999999999999</v>
      </c>
      <c r="AL86" s="20">
        <v>7.7759999999999996E-2</v>
      </c>
      <c r="AM86" s="20">
        <v>0.36</v>
      </c>
      <c r="AN86" s="20">
        <v>0.216</v>
      </c>
      <c r="AO86" s="20">
        <v>0.12959999999999999</v>
      </c>
      <c r="AP86" s="20">
        <v>7.7759999999999996E-2</v>
      </c>
      <c r="AQ86" s="20">
        <v>4.6655999999999996E-2</v>
      </c>
      <c r="AR86" s="20">
        <v>4.6655999999999996E-2</v>
      </c>
      <c r="AS86" s="20">
        <v>2.7993599999999997E-2</v>
      </c>
    </row>
    <row r="87" spans="4:45" x14ac:dyDescent="0.3">
      <c r="D87" s="20">
        <v>7.7759999999999996E-2</v>
      </c>
      <c r="E87" s="20">
        <v>0.12959999999999999</v>
      </c>
      <c r="F87" s="20">
        <v>0.216</v>
      </c>
      <c r="G87" s="20">
        <v>7.7759999999999996E-2</v>
      </c>
      <c r="H87" s="20">
        <v>0.12959999999999999</v>
      </c>
      <c r="I87" s="20">
        <v>0.12959999999999999</v>
      </c>
      <c r="J87" s="20">
        <v>7.7759999999999996E-2</v>
      </c>
      <c r="K87" s="20">
        <v>7.7759999999999996E-2</v>
      </c>
      <c r="L87" s="20">
        <v>7.7759999999999996E-2</v>
      </c>
      <c r="M87" s="20">
        <v>0.12959999999999999</v>
      </c>
      <c r="N87" s="20">
        <v>0.12959999999999999</v>
      </c>
      <c r="O87" s="20">
        <v>0.216</v>
      </c>
      <c r="P87" s="20">
        <v>0.12959999999999999</v>
      </c>
      <c r="Q87" s="20">
        <v>0.36</v>
      </c>
      <c r="R87" s="20">
        <v>0.36</v>
      </c>
      <c r="S87" s="20">
        <v>0.6</v>
      </c>
      <c r="T87" s="20">
        <v>1</v>
      </c>
      <c r="U87" s="20">
        <v>0.36</v>
      </c>
      <c r="V87" s="20">
        <v>0.6</v>
      </c>
      <c r="W87" s="20">
        <v>0.6</v>
      </c>
      <c r="X87" s="20">
        <v>0.36</v>
      </c>
      <c r="Y87" s="20">
        <v>0.36</v>
      </c>
      <c r="Z87" s="20">
        <v>0.36</v>
      </c>
      <c r="AA87" s="20">
        <v>0.216</v>
      </c>
      <c r="AB87" s="20">
        <v>0.216</v>
      </c>
      <c r="AC87" s="20">
        <v>0.216</v>
      </c>
      <c r="AD87" s="20">
        <v>0.6</v>
      </c>
      <c r="AE87" s="20">
        <v>0.36</v>
      </c>
      <c r="AF87" s="20">
        <v>0.216</v>
      </c>
      <c r="AG87" s="20">
        <v>0.12959999999999999</v>
      </c>
      <c r="AH87" s="20">
        <v>0.216</v>
      </c>
      <c r="AI87" s="20">
        <v>0.6</v>
      </c>
      <c r="AJ87" s="20">
        <v>0.36</v>
      </c>
      <c r="AK87" s="20">
        <v>0.216</v>
      </c>
      <c r="AL87" s="20">
        <v>0.12959999999999999</v>
      </c>
      <c r="AM87" s="20">
        <v>0.6</v>
      </c>
      <c r="AN87" s="20">
        <v>0.36</v>
      </c>
      <c r="AO87" s="20">
        <v>0.216</v>
      </c>
      <c r="AP87" s="20">
        <v>0.12959999999999999</v>
      </c>
      <c r="AQ87" s="20">
        <v>7.7759999999999996E-2</v>
      </c>
      <c r="AR87" s="20">
        <v>7.7759999999999996E-2</v>
      </c>
      <c r="AS87" s="20">
        <v>4.6655999999999996E-2</v>
      </c>
    </row>
    <row r="88" spans="4:45" x14ac:dyDescent="0.3">
      <c r="D88" s="20">
        <v>7.7759999999999996E-2</v>
      </c>
      <c r="E88" s="20">
        <v>0.12959999999999999</v>
      </c>
      <c r="F88" s="20">
        <v>0.216</v>
      </c>
      <c r="G88" s="20">
        <v>7.7759999999999996E-2</v>
      </c>
      <c r="H88" s="20">
        <v>0.12959999999999999</v>
      </c>
      <c r="I88" s="20">
        <v>0.12959999999999999</v>
      </c>
      <c r="J88" s="20">
        <v>7.7759999999999996E-2</v>
      </c>
      <c r="K88" s="20">
        <v>7.7759999999999996E-2</v>
      </c>
      <c r="L88" s="20">
        <v>0.12959999999999999</v>
      </c>
      <c r="M88" s="20">
        <v>0.216</v>
      </c>
      <c r="N88" s="20">
        <v>0.216</v>
      </c>
      <c r="O88" s="20">
        <v>0.36</v>
      </c>
      <c r="P88" s="20">
        <v>0.216</v>
      </c>
      <c r="Q88" s="20">
        <v>0.36</v>
      </c>
      <c r="R88" s="20">
        <v>0.6</v>
      </c>
      <c r="S88" s="20">
        <v>0.36</v>
      </c>
      <c r="T88" s="20">
        <v>0.36</v>
      </c>
      <c r="U88" s="20">
        <v>1</v>
      </c>
      <c r="V88" s="20">
        <v>0.6</v>
      </c>
      <c r="W88" s="20">
        <v>0.6</v>
      </c>
      <c r="X88" s="20">
        <v>0.6</v>
      </c>
      <c r="Y88" s="20">
        <v>0.36</v>
      </c>
      <c r="Z88" s="20">
        <v>0.36</v>
      </c>
      <c r="AA88" s="20">
        <v>0.36</v>
      </c>
      <c r="AB88" s="20">
        <v>0.216</v>
      </c>
      <c r="AC88" s="20">
        <v>0.216</v>
      </c>
      <c r="AD88" s="20">
        <v>0.216</v>
      </c>
      <c r="AE88" s="20">
        <v>0.12959999999999999</v>
      </c>
      <c r="AF88" s="20">
        <v>7.7759999999999996E-2</v>
      </c>
      <c r="AG88" s="20">
        <v>4.6655999999999996E-2</v>
      </c>
      <c r="AH88" s="20">
        <v>7.7759999999999996E-2</v>
      </c>
      <c r="AI88" s="20">
        <v>0.216</v>
      </c>
      <c r="AJ88" s="20">
        <v>0.12959999999999999</v>
      </c>
      <c r="AK88" s="20">
        <v>7.7759999999999996E-2</v>
      </c>
      <c r="AL88" s="20">
        <v>4.6655999999999996E-2</v>
      </c>
      <c r="AM88" s="20">
        <v>0.36</v>
      </c>
      <c r="AN88" s="20">
        <v>0.216</v>
      </c>
      <c r="AO88" s="20">
        <v>0.12959999999999999</v>
      </c>
      <c r="AP88" s="20">
        <v>7.7759999999999996E-2</v>
      </c>
      <c r="AQ88" s="20">
        <v>4.6655999999999996E-2</v>
      </c>
      <c r="AR88" s="20">
        <v>4.6655999999999996E-2</v>
      </c>
      <c r="AS88" s="20">
        <v>2.7993599999999997E-2</v>
      </c>
    </row>
    <row r="89" spans="4:45" x14ac:dyDescent="0.3">
      <c r="D89" s="20">
        <v>7.7759999999999996E-2</v>
      </c>
      <c r="E89" s="20">
        <v>0.12959999999999999</v>
      </c>
      <c r="F89" s="20">
        <v>0.216</v>
      </c>
      <c r="G89" s="20">
        <v>7.7759999999999996E-2</v>
      </c>
      <c r="H89" s="20">
        <v>0.12959999999999999</v>
      </c>
      <c r="I89" s="20">
        <v>0.12959999999999999</v>
      </c>
      <c r="J89" s="20">
        <v>7.7759999999999996E-2</v>
      </c>
      <c r="K89" s="20">
        <v>7.7759999999999996E-2</v>
      </c>
      <c r="L89" s="20">
        <v>7.7759999999999996E-2</v>
      </c>
      <c r="M89" s="20">
        <v>0.12959999999999999</v>
      </c>
      <c r="N89" s="20">
        <v>0.12959999999999999</v>
      </c>
      <c r="O89" s="20">
        <v>0.216</v>
      </c>
      <c r="P89" s="20">
        <v>0.12959999999999999</v>
      </c>
      <c r="Q89" s="20">
        <v>0.36</v>
      </c>
      <c r="R89" s="20">
        <v>0.6</v>
      </c>
      <c r="S89" s="20">
        <v>0.36</v>
      </c>
      <c r="T89" s="20">
        <v>0.6</v>
      </c>
      <c r="U89" s="20">
        <v>0.6</v>
      </c>
      <c r="V89" s="20">
        <v>1</v>
      </c>
      <c r="W89" s="20">
        <v>0.6</v>
      </c>
      <c r="X89" s="20">
        <v>0.36</v>
      </c>
      <c r="Y89" s="20">
        <v>0.36</v>
      </c>
      <c r="Z89" s="20">
        <v>0.216</v>
      </c>
      <c r="AA89" s="20">
        <v>0.216</v>
      </c>
      <c r="AB89" s="20">
        <v>0.12959999999999999</v>
      </c>
      <c r="AC89" s="20">
        <v>0.12959999999999999</v>
      </c>
      <c r="AD89" s="20">
        <v>0.36</v>
      </c>
      <c r="AE89" s="20">
        <v>0.216</v>
      </c>
      <c r="AF89" s="20">
        <v>0.12959999999999999</v>
      </c>
      <c r="AG89" s="20">
        <v>7.7759999999999996E-2</v>
      </c>
      <c r="AH89" s="20">
        <v>0.12959999999999999</v>
      </c>
      <c r="AI89" s="20">
        <v>0.36</v>
      </c>
      <c r="AJ89" s="20">
        <v>0.216</v>
      </c>
      <c r="AK89" s="20">
        <v>0.12959999999999999</v>
      </c>
      <c r="AL89" s="20">
        <v>7.7759999999999996E-2</v>
      </c>
      <c r="AM89" s="20">
        <v>0.36</v>
      </c>
      <c r="AN89" s="20">
        <v>0.216</v>
      </c>
      <c r="AO89" s="20">
        <v>0.12959999999999999</v>
      </c>
      <c r="AP89" s="20">
        <v>7.7759999999999996E-2</v>
      </c>
      <c r="AQ89" s="20">
        <v>4.6655999999999996E-2</v>
      </c>
      <c r="AR89" s="20">
        <v>4.6655999999999996E-2</v>
      </c>
      <c r="AS89" s="20">
        <v>2.7993599999999997E-2</v>
      </c>
    </row>
    <row r="90" spans="4:45" x14ac:dyDescent="0.3">
      <c r="D90" s="20">
        <v>4.6655999999999996E-2</v>
      </c>
      <c r="E90" s="20">
        <v>7.7759999999999996E-2</v>
      </c>
      <c r="F90" s="20">
        <v>0.12959999999999999</v>
      </c>
      <c r="G90" s="20">
        <v>4.6655999999999996E-2</v>
      </c>
      <c r="H90" s="20">
        <v>7.7759999999999996E-2</v>
      </c>
      <c r="I90" s="20">
        <v>7.7759999999999996E-2</v>
      </c>
      <c r="J90" s="20">
        <v>7.7759999999999996E-2</v>
      </c>
      <c r="K90" s="20">
        <v>7.7759999999999996E-2</v>
      </c>
      <c r="L90" s="20">
        <v>0.12959999999999999</v>
      </c>
      <c r="M90" s="20">
        <v>0.216</v>
      </c>
      <c r="N90" s="20">
        <v>0.216</v>
      </c>
      <c r="O90" s="20">
        <v>0.36</v>
      </c>
      <c r="P90" s="20">
        <v>0.216</v>
      </c>
      <c r="Q90" s="20">
        <v>0.216</v>
      </c>
      <c r="R90" s="20">
        <v>0.36</v>
      </c>
      <c r="S90" s="20">
        <v>0.36</v>
      </c>
      <c r="T90" s="20">
        <v>0.6</v>
      </c>
      <c r="U90" s="20">
        <v>0.6</v>
      </c>
      <c r="V90" s="20">
        <v>0.6</v>
      </c>
      <c r="W90" s="20">
        <v>1</v>
      </c>
      <c r="X90" s="20">
        <v>0.6</v>
      </c>
      <c r="Y90" s="20">
        <v>0.6</v>
      </c>
      <c r="Z90" s="20">
        <v>0.36</v>
      </c>
      <c r="AA90" s="20">
        <v>0.36</v>
      </c>
      <c r="AB90" s="20">
        <v>0.216</v>
      </c>
      <c r="AC90" s="20">
        <v>0.216</v>
      </c>
      <c r="AD90" s="20">
        <v>0.36</v>
      </c>
      <c r="AE90" s="20">
        <v>0.216</v>
      </c>
      <c r="AF90" s="20">
        <v>0.12959999999999999</v>
      </c>
      <c r="AG90" s="20">
        <v>7.7759999999999996E-2</v>
      </c>
      <c r="AH90" s="20">
        <v>0.12959999999999999</v>
      </c>
      <c r="AI90" s="20">
        <v>0.36</v>
      </c>
      <c r="AJ90" s="20">
        <v>0.216</v>
      </c>
      <c r="AK90" s="20">
        <v>0.12959999999999999</v>
      </c>
      <c r="AL90" s="20">
        <v>7.7759999999999996E-2</v>
      </c>
      <c r="AM90" s="20">
        <v>0.6</v>
      </c>
      <c r="AN90" s="20">
        <v>0.36</v>
      </c>
      <c r="AO90" s="20">
        <v>0.216</v>
      </c>
      <c r="AP90" s="20">
        <v>0.12959999999999999</v>
      </c>
      <c r="AQ90" s="20">
        <v>7.7759999999999996E-2</v>
      </c>
      <c r="AR90" s="20">
        <v>7.7759999999999996E-2</v>
      </c>
      <c r="AS90" s="20">
        <v>4.6655999999999996E-2</v>
      </c>
    </row>
    <row r="91" spans="4:45" x14ac:dyDescent="0.3">
      <c r="D91" s="20">
        <v>4.6655999999999996E-2</v>
      </c>
      <c r="E91" s="20">
        <v>7.7759999999999996E-2</v>
      </c>
      <c r="F91" s="20">
        <v>0.12959999999999999</v>
      </c>
      <c r="G91" s="20">
        <v>7.7759999999999996E-2</v>
      </c>
      <c r="H91" s="20">
        <v>7.7759999999999996E-2</v>
      </c>
      <c r="I91" s="20">
        <v>7.7759999999999996E-2</v>
      </c>
      <c r="J91" s="20">
        <v>0.12959999999999999</v>
      </c>
      <c r="K91" s="20">
        <v>0.12959999999999999</v>
      </c>
      <c r="L91" s="20">
        <v>0.216</v>
      </c>
      <c r="M91" s="20">
        <v>0.36</v>
      </c>
      <c r="N91" s="20">
        <v>0.36</v>
      </c>
      <c r="O91" s="20">
        <v>0.6</v>
      </c>
      <c r="P91" s="20">
        <v>0.36</v>
      </c>
      <c r="Q91" s="20">
        <v>0.216</v>
      </c>
      <c r="R91" s="20">
        <v>0.36</v>
      </c>
      <c r="S91" s="20">
        <v>0.216</v>
      </c>
      <c r="T91" s="20">
        <v>0.36</v>
      </c>
      <c r="U91" s="20">
        <v>0.6</v>
      </c>
      <c r="V91" s="20">
        <v>0.36</v>
      </c>
      <c r="W91" s="20">
        <v>0.6</v>
      </c>
      <c r="X91" s="20">
        <v>1</v>
      </c>
      <c r="Y91" s="20">
        <v>0.6</v>
      </c>
      <c r="Z91" s="20">
        <v>0.6</v>
      </c>
      <c r="AA91" s="20">
        <v>0.6</v>
      </c>
      <c r="AB91" s="20">
        <v>0.36</v>
      </c>
      <c r="AC91" s="20">
        <v>0.36</v>
      </c>
      <c r="AD91" s="20">
        <v>0.216</v>
      </c>
      <c r="AE91" s="20">
        <v>0.12959999999999999</v>
      </c>
      <c r="AF91" s="20">
        <v>7.7759999999999996E-2</v>
      </c>
      <c r="AG91" s="20">
        <v>4.6655999999999996E-2</v>
      </c>
      <c r="AH91" s="20">
        <v>7.7759999999999996E-2</v>
      </c>
      <c r="AI91" s="20">
        <v>0.216</v>
      </c>
      <c r="AJ91" s="20">
        <v>0.12959999999999999</v>
      </c>
      <c r="AK91" s="20">
        <v>7.7759999999999996E-2</v>
      </c>
      <c r="AL91" s="20">
        <v>4.6655999999999996E-2</v>
      </c>
      <c r="AM91" s="20">
        <v>0.36</v>
      </c>
      <c r="AN91" s="20">
        <v>0.216</v>
      </c>
      <c r="AO91" s="20">
        <v>0.12959999999999999</v>
      </c>
      <c r="AP91" s="20">
        <v>7.7759999999999996E-2</v>
      </c>
      <c r="AQ91" s="20">
        <v>4.6655999999999996E-2</v>
      </c>
      <c r="AR91" s="20">
        <v>4.6655999999999996E-2</v>
      </c>
      <c r="AS91" s="20">
        <v>2.7993599999999997E-2</v>
      </c>
    </row>
    <row r="92" spans="4:45" x14ac:dyDescent="0.3">
      <c r="D92" s="20">
        <v>4.6655999999999996E-2</v>
      </c>
      <c r="E92" s="20">
        <v>4.6655999999999996E-2</v>
      </c>
      <c r="F92" s="20">
        <v>7.7759999999999996E-2</v>
      </c>
      <c r="G92" s="20">
        <v>4.6655999999999996E-2</v>
      </c>
      <c r="H92" s="20">
        <v>4.6655999999999996E-2</v>
      </c>
      <c r="I92" s="20">
        <v>4.6655999999999996E-2</v>
      </c>
      <c r="J92" s="20">
        <v>7.7759999999999996E-2</v>
      </c>
      <c r="K92" s="20">
        <v>7.7759999999999996E-2</v>
      </c>
      <c r="L92" s="20">
        <v>0.12959999999999999</v>
      </c>
      <c r="M92" s="20">
        <v>0.216</v>
      </c>
      <c r="N92" s="20">
        <v>0.216</v>
      </c>
      <c r="O92" s="20">
        <v>0.36</v>
      </c>
      <c r="P92" s="20">
        <v>0.216</v>
      </c>
      <c r="Q92" s="20">
        <v>0.12959999999999999</v>
      </c>
      <c r="R92" s="20">
        <v>0.216</v>
      </c>
      <c r="S92" s="20">
        <v>0.216</v>
      </c>
      <c r="T92" s="20">
        <v>0.36</v>
      </c>
      <c r="U92" s="20">
        <v>0.36</v>
      </c>
      <c r="V92" s="20">
        <v>0.36</v>
      </c>
      <c r="W92" s="20">
        <v>0.6</v>
      </c>
      <c r="X92" s="20">
        <v>0.6</v>
      </c>
      <c r="Y92" s="20">
        <v>1</v>
      </c>
      <c r="Z92" s="20">
        <v>0.6</v>
      </c>
      <c r="AA92" s="20">
        <v>0.36</v>
      </c>
      <c r="AB92" s="20">
        <v>0.36</v>
      </c>
      <c r="AC92" s="20">
        <v>0.36</v>
      </c>
      <c r="AD92" s="20">
        <v>0.216</v>
      </c>
      <c r="AE92" s="20">
        <v>0.12959999999999999</v>
      </c>
      <c r="AF92" s="20">
        <v>7.7759999999999996E-2</v>
      </c>
      <c r="AG92" s="20">
        <v>7.7759999999999996E-2</v>
      </c>
      <c r="AH92" s="20">
        <v>7.7759999999999996E-2</v>
      </c>
      <c r="AI92" s="20">
        <v>0.36</v>
      </c>
      <c r="AJ92" s="20">
        <v>0.216</v>
      </c>
      <c r="AK92" s="20">
        <v>0.12959999999999999</v>
      </c>
      <c r="AL92" s="20">
        <v>7.7759999999999996E-2</v>
      </c>
      <c r="AM92" s="20">
        <v>0.6</v>
      </c>
      <c r="AN92" s="20">
        <v>0.36</v>
      </c>
      <c r="AO92" s="20">
        <v>0.216</v>
      </c>
      <c r="AP92" s="20">
        <v>0.12959999999999999</v>
      </c>
      <c r="AQ92" s="20">
        <v>7.7759999999999996E-2</v>
      </c>
      <c r="AR92" s="20">
        <v>7.7759999999999996E-2</v>
      </c>
      <c r="AS92" s="20">
        <v>4.6655999999999996E-2</v>
      </c>
    </row>
    <row r="93" spans="4:45" x14ac:dyDescent="0.3">
      <c r="D93" s="20">
        <v>4.6655999999999996E-2</v>
      </c>
      <c r="E93" s="20">
        <v>4.6655999999999996E-2</v>
      </c>
      <c r="F93" s="20">
        <v>7.7759999999999996E-2</v>
      </c>
      <c r="G93" s="20">
        <v>4.6655999999999996E-2</v>
      </c>
      <c r="H93" s="20">
        <v>4.6655999999999996E-2</v>
      </c>
      <c r="I93" s="20">
        <v>4.6655999999999996E-2</v>
      </c>
      <c r="J93" s="20">
        <v>7.7759999999999996E-2</v>
      </c>
      <c r="K93" s="20">
        <v>7.7759999999999996E-2</v>
      </c>
      <c r="L93" s="20">
        <v>0.12959999999999999</v>
      </c>
      <c r="M93" s="20">
        <v>0.216</v>
      </c>
      <c r="N93" s="20">
        <v>0.216</v>
      </c>
      <c r="O93" s="20">
        <v>0.36</v>
      </c>
      <c r="P93" s="20">
        <v>0.216</v>
      </c>
      <c r="Q93" s="20">
        <v>0.12959999999999999</v>
      </c>
      <c r="R93" s="20">
        <v>0.216</v>
      </c>
      <c r="S93" s="20">
        <v>0.216</v>
      </c>
      <c r="T93" s="20">
        <v>0.36</v>
      </c>
      <c r="U93" s="20">
        <v>0.36</v>
      </c>
      <c r="V93" s="20">
        <v>0.216</v>
      </c>
      <c r="W93" s="20">
        <v>0.36</v>
      </c>
      <c r="X93" s="20">
        <v>0.6</v>
      </c>
      <c r="Y93" s="20">
        <v>0.6</v>
      </c>
      <c r="Z93" s="20">
        <v>1</v>
      </c>
      <c r="AA93" s="20">
        <v>0.6</v>
      </c>
      <c r="AB93" s="20">
        <v>0.6</v>
      </c>
      <c r="AC93" s="20">
        <v>0.6</v>
      </c>
      <c r="AD93" s="20">
        <v>0.216</v>
      </c>
      <c r="AE93" s="20">
        <v>0.12959999999999999</v>
      </c>
      <c r="AF93" s="20">
        <v>7.7759999999999996E-2</v>
      </c>
      <c r="AG93" s="20">
        <v>7.7759999999999996E-2</v>
      </c>
      <c r="AH93" s="20">
        <v>7.7759999999999996E-2</v>
      </c>
      <c r="AI93" s="20">
        <v>0.36</v>
      </c>
      <c r="AJ93" s="20">
        <v>0.216</v>
      </c>
      <c r="AK93" s="20">
        <v>0.12959999999999999</v>
      </c>
      <c r="AL93" s="20">
        <v>7.7759999999999996E-2</v>
      </c>
      <c r="AM93" s="20">
        <v>0.6</v>
      </c>
      <c r="AN93" s="20">
        <v>0.36</v>
      </c>
      <c r="AO93" s="20">
        <v>0.216</v>
      </c>
      <c r="AP93" s="20">
        <v>0.12959999999999999</v>
      </c>
      <c r="AQ93" s="20">
        <v>7.7759999999999996E-2</v>
      </c>
      <c r="AR93" s="20">
        <v>7.7759999999999996E-2</v>
      </c>
      <c r="AS93" s="20">
        <v>4.6655999999999996E-2</v>
      </c>
    </row>
    <row r="94" spans="4:45" x14ac:dyDescent="0.3">
      <c r="D94" s="20">
        <v>2.7993599999999997E-2</v>
      </c>
      <c r="E94" s="20">
        <v>4.6655999999999996E-2</v>
      </c>
      <c r="F94" s="20">
        <v>7.7759999999999996E-2</v>
      </c>
      <c r="G94" s="20">
        <v>4.6655999999999996E-2</v>
      </c>
      <c r="H94" s="20">
        <v>4.6655999999999996E-2</v>
      </c>
      <c r="I94" s="20">
        <v>4.6655999999999996E-2</v>
      </c>
      <c r="J94" s="20">
        <v>7.7759999999999996E-2</v>
      </c>
      <c r="K94" s="20">
        <v>7.7759999999999996E-2</v>
      </c>
      <c r="L94" s="20">
        <v>0.12959999999999999</v>
      </c>
      <c r="M94" s="20">
        <v>0.216</v>
      </c>
      <c r="N94" s="20">
        <v>0.216</v>
      </c>
      <c r="O94" s="20">
        <v>0.36</v>
      </c>
      <c r="P94" s="20">
        <v>0.216</v>
      </c>
      <c r="Q94" s="20">
        <v>0.12959999999999999</v>
      </c>
      <c r="R94" s="20">
        <v>0.216</v>
      </c>
      <c r="S94" s="20">
        <v>0.12959999999999999</v>
      </c>
      <c r="T94" s="20">
        <v>0.216</v>
      </c>
      <c r="U94" s="20">
        <v>0.36</v>
      </c>
      <c r="V94" s="20">
        <v>0.216</v>
      </c>
      <c r="W94" s="20">
        <v>0.36</v>
      </c>
      <c r="X94" s="20">
        <v>0.6</v>
      </c>
      <c r="Y94" s="20">
        <v>0.36</v>
      </c>
      <c r="Z94" s="20">
        <v>0.6</v>
      </c>
      <c r="AA94" s="20">
        <v>1</v>
      </c>
      <c r="AB94" s="20">
        <v>0.6</v>
      </c>
      <c r="AC94" s="20">
        <v>0.36</v>
      </c>
      <c r="AD94" s="20">
        <v>0.12959999999999999</v>
      </c>
      <c r="AE94" s="20">
        <v>7.7759999999999996E-2</v>
      </c>
      <c r="AF94" s="20">
        <v>4.6655999999999996E-2</v>
      </c>
      <c r="AG94" s="20">
        <v>4.6655999999999996E-2</v>
      </c>
      <c r="AH94" s="20">
        <v>4.6655999999999996E-2</v>
      </c>
      <c r="AI94" s="20">
        <v>0.216</v>
      </c>
      <c r="AJ94" s="20">
        <v>0.12959999999999999</v>
      </c>
      <c r="AK94" s="20">
        <v>7.7759999999999996E-2</v>
      </c>
      <c r="AL94" s="20">
        <v>4.6655999999999996E-2</v>
      </c>
      <c r="AM94" s="20">
        <v>0.36</v>
      </c>
      <c r="AN94" s="20">
        <v>0.216</v>
      </c>
      <c r="AO94" s="20">
        <v>0.12959999999999999</v>
      </c>
      <c r="AP94" s="20">
        <v>7.7759999999999996E-2</v>
      </c>
      <c r="AQ94" s="20">
        <v>4.6655999999999996E-2</v>
      </c>
      <c r="AR94" s="20">
        <v>4.6655999999999996E-2</v>
      </c>
      <c r="AS94" s="20">
        <v>2.7993599999999997E-2</v>
      </c>
    </row>
    <row r="95" spans="4:45" x14ac:dyDescent="0.3">
      <c r="D95" s="20">
        <v>2.7993599999999997E-2</v>
      </c>
      <c r="E95" s="20">
        <v>2.7993599999999997E-2</v>
      </c>
      <c r="F95" s="20">
        <v>4.6655999999999996E-2</v>
      </c>
      <c r="G95" s="20">
        <v>2.7993599999999997E-2</v>
      </c>
      <c r="H95" s="20">
        <v>2.7993599999999997E-2</v>
      </c>
      <c r="I95" s="20">
        <v>2.7993599999999997E-2</v>
      </c>
      <c r="J95" s="20">
        <v>4.6655999999999996E-2</v>
      </c>
      <c r="K95" s="20">
        <v>4.6655999999999996E-2</v>
      </c>
      <c r="L95" s="20">
        <v>7.7759999999999996E-2</v>
      </c>
      <c r="M95" s="20">
        <v>0.12959999999999999</v>
      </c>
      <c r="N95" s="20">
        <v>0.12959999999999999</v>
      </c>
      <c r="O95" s="20">
        <v>0.216</v>
      </c>
      <c r="P95" s="20">
        <v>0.12959999999999999</v>
      </c>
      <c r="Q95" s="20">
        <v>7.7759999999999996E-2</v>
      </c>
      <c r="R95" s="20">
        <v>0.12959999999999999</v>
      </c>
      <c r="S95" s="20">
        <v>0.12959999999999999</v>
      </c>
      <c r="T95" s="20">
        <v>0.216</v>
      </c>
      <c r="U95" s="20">
        <v>0.216</v>
      </c>
      <c r="V95" s="20">
        <v>0.12959999999999999</v>
      </c>
      <c r="W95" s="20">
        <v>0.216</v>
      </c>
      <c r="X95" s="20">
        <v>0.36</v>
      </c>
      <c r="Y95" s="20">
        <v>0.36</v>
      </c>
      <c r="Z95" s="20">
        <v>0.6</v>
      </c>
      <c r="AA95" s="20">
        <v>0.6</v>
      </c>
      <c r="AB95" s="20">
        <v>1</v>
      </c>
      <c r="AC95" s="20">
        <v>0.6</v>
      </c>
      <c r="AD95" s="20">
        <v>0.12959999999999999</v>
      </c>
      <c r="AE95" s="20">
        <v>7.7759999999999996E-2</v>
      </c>
      <c r="AF95" s="20">
        <v>4.6655999999999996E-2</v>
      </c>
      <c r="AG95" s="20">
        <v>4.6655999999999996E-2</v>
      </c>
      <c r="AH95" s="20">
        <v>4.6655999999999996E-2</v>
      </c>
      <c r="AI95" s="20">
        <v>0.216</v>
      </c>
      <c r="AJ95" s="20">
        <v>0.12959999999999999</v>
      </c>
      <c r="AK95" s="20">
        <v>7.7759999999999996E-2</v>
      </c>
      <c r="AL95" s="20">
        <v>4.6655999999999996E-2</v>
      </c>
      <c r="AM95" s="20">
        <v>0.36</v>
      </c>
      <c r="AN95" s="20">
        <v>0.216</v>
      </c>
      <c r="AO95" s="20">
        <v>0.12959999999999999</v>
      </c>
      <c r="AP95" s="20">
        <v>7.7759999999999996E-2</v>
      </c>
      <c r="AQ95" s="20">
        <v>4.6655999999999996E-2</v>
      </c>
      <c r="AR95" s="20">
        <v>4.6655999999999996E-2</v>
      </c>
      <c r="AS95" s="20">
        <v>2.7993599999999997E-2</v>
      </c>
    </row>
    <row r="96" spans="4:45" x14ac:dyDescent="0.3">
      <c r="D96" s="20">
        <v>2.7993599999999997E-2</v>
      </c>
      <c r="E96" s="20">
        <v>2.7993599999999997E-2</v>
      </c>
      <c r="F96" s="20">
        <v>4.6655999999999996E-2</v>
      </c>
      <c r="G96" s="20">
        <v>2.7993599999999997E-2</v>
      </c>
      <c r="H96" s="20">
        <v>2.7993599999999997E-2</v>
      </c>
      <c r="I96" s="20">
        <v>2.7993599999999997E-2</v>
      </c>
      <c r="J96" s="20">
        <v>4.6655999999999996E-2</v>
      </c>
      <c r="K96" s="20">
        <v>4.6655999999999996E-2</v>
      </c>
      <c r="L96" s="20">
        <v>7.7759999999999996E-2</v>
      </c>
      <c r="M96" s="20">
        <v>0.12959999999999999</v>
      </c>
      <c r="N96" s="20">
        <v>0.12959999999999999</v>
      </c>
      <c r="O96" s="20">
        <v>0.216</v>
      </c>
      <c r="P96" s="20">
        <v>0.12959999999999999</v>
      </c>
      <c r="Q96" s="20">
        <v>7.7759999999999996E-2</v>
      </c>
      <c r="R96" s="20">
        <v>0.12959999999999999</v>
      </c>
      <c r="S96" s="20">
        <v>0.12959999999999999</v>
      </c>
      <c r="T96" s="20">
        <v>0.216</v>
      </c>
      <c r="U96" s="20">
        <v>0.216</v>
      </c>
      <c r="V96" s="20">
        <v>0.12959999999999999</v>
      </c>
      <c r="W96" s="20">
        <v>0.216</v>
      </c>
      <c r="X96" s="20">
        <v>0.36</v>
      </c>
      <c r="Y96" s="20">
        <v>0.36</v>
      </c>
      <c r="Z96" s="20">
        <v>0.6</v>
      </c>
      <c r="AA96" s="20">
        <v>0.36</v>
      </c>
      <c r="AB96" s="20">
        <v>0.6</v>
      </c>
      <c r="AC96" s="20">
        <v>1</v>
      </c>
      <c r="AD96" s="20">
        <v>0.12959999999999999</v>
      </c>
      <c r="AE96" s="20">
        <v>7.7759999999999996E-2</v>
      </c>
      <c r="AF96" s="20">
        <v>4.6655999999999996E-2</v>
      </c>
      <c r="AG96" s="20">
        <v>4.6655999999999996E-2</v>
      </c>
      <c r="AH96" s="20">
        <v>4.6655999999999996E-2</v>
      </c>
      <c r="AI96" s="20">
        <v>0.216</v>
      </c>
      <c r="AJ96" s="20">
        <v>0.12959999999999999</v>
      </c>
      <c r="AK96" s="20">
        <v>7.7759999999999996E-2</v>
      </c>
      <c r="AL96" s="20">
        <v>4.6655999999999996E-2</v>
      </c>
      <c r="AM96" s="20">
        <v>0.36</v>
      </c>
      <c r="AN96" s="20">
        <v>0.216</v>
      </c>
      <c r="AO96" s="20">
        <v>0.12959999999999999</v>
      </c>
      <c r="AP96" s="20">
        <v>7.7759999999999996E-2</v>
      </c>
      <c r="AQ96" s="20">
        <v>4.6655999999999996E-2</v>
      </c>
      <c r="AR96" s="20">
        <v>4.6655999999999996E-2</v>
      </c>
      <c r="AS96" s="20">
        <v>2.7993599999999997E-2</v>
      </c>
    </row>
    <row r="97" spans="4:45" x14ac:dyDescent="0.3">
      <c r="D97" s="20">
        <v>0.12959999999999999</v>
      </c>
      <c r="E97" s="20">
        <v>7.7759999999999996E-2</v>
      </c>
      <c r="F97" s="20">
        <v>0.12959999999999999</v>
      </c>
      <c r="G97" s="20">
        <v>7.7759999999999996E-2</v>
      </c>
      <c r="H97" s="20">
        <v>7.7759999999999996E-2</v>
      </c>
      <c r="I97" s="20">
        <v>7.7759999999999996E-2</v>
      </c>
      <c r="J97" s="20">
        <v>4.6655999999999996E-2</v>
      </c>
      <c r="K97" s="20">
        <v>4.6655999999999996E-2</v>
      </c>
      <c r="L97" s="20">
        <v>4.6655999999999996E-2</v>
      </c>
      <c r="M97" s="20">
        <v>7.7759999999999996E-2</v>
      </c>
      <c r="N97" s="20">
        <v>7.7759999999999996E-2</v>
      </c>
      <c r="O97" s="20">
        <v>0.12959999999999999</v>
      </c>
      <c r="P97" s="20">
        <v>7.7759999999999996E-2</v>
      </c>
      <c r="Q97" s="20">
        <v>0.216</v>
      </c>
      <c r="R97" s="20">
        <v>0.216</v>
      </c>
      <c r="S97" s="20">
        <v>0.36</v>
      </c>
      <c r="T97" s="20">
        <v>0.6</v>
      </c>
      <c r="U97" s="20">
        <v>0.216</v>
      </c>
      <c r="V97" s="20">
        <v>0.36</v>
      </c>
      <c r="W97" s="20">
        <v>0.36</v>
      </c>
      <c r="X97" s="20">
        <v>0.216</v>
      </c>
      <c r="Y97" s="20">
        <v>0.216</v>
      </c>
      <c r="Z97" s="20">
        <v>0.216</v>
      </c>
      <c r="AA97" s="20">
        <v>0.12959999999999999</v>
      </c>
      <c r="AB97" s="20">
        <v>0.12959999999999999</v>
      </c>
      <c r="AC97" s="20">
        <v>0.12959999999999999</v>
      </c>
      <c r="AD97" s="20">
        <v>1</v>
      </c>
      <c r="AE97" s="20">
        <v>0.6</v>
      </c>
      <c r="AF97" s="20">
        <v>0.36</v>
      </c>
      <c r="AG97" s="20">
        <v>0.216</v>
      </c>
      <c r="AH97" s="20">
        <v>0.36</v>
      </c>
      <c r="AI97" s="20">
        <v>0.6</v>
      </c>
      <c r="AJ97" s="20">
        <v>0.6</v>
      </c>
      <c r="AK97" s="20">
        <v>0.36</v>
      </c>
      <c r="AL97" s="20">
        <v>0.216</v>
      </c>
      <c r="AM97" s="20">
        <v>0.36</v>
      </c>
      <c r="AN97" s="20">
        <v>0.36</v>
      </c>
      <c r="AO97" s="20">
        <v>0.36</v>
      </c>
      <c r="AP97" s="20">
        <v>0.216</v>
      </c>
      <c r="AQ97" s="20">
        <v>0.12959999999999999</v>
      </c>
      <c r="AR97" s="20">
        <v>0.12959999999999999</v>
      </c>
      <c r="AS97" s="20">
        <v>7.7759999999999996E-2</v>
      </c>
    </row>
    <row r="98" spans="4:45" x14ac:dyDescent="0.3">
      <c r="D98" s="20">
        <v>0.216</v>
      </c>
      <c r="E98" s="20">
        <v>0.12959999999999999</v>
      </c>
      <c r="F98" s="20">
        <v>7.7759999999999996E-2</v>
      </c>
      <c r="G98" s="20">
        <v>0.12959999999999999</v>
      </c>
      <c r="H98" s="20">
        <v>7.7759999999999996E-2</v>
      </c>
      <c r="I98" s="20">
        <v>4.6655999999999996E-2</v>
      </c>
      <c r="J98" s="20">
        <v>7.7759999999999996E-2</v>
      </c>
      <c r="K98" s="20">
        <v>4.6655999999999996E-2</v>
      </c>
      <c r="L98" s="20">
        <v>4.6655999999999996E-2</v>
      </c>
      <c r="M98" s="20">
        <v>4.6655999999999996E-2</v>
      </c>
      <c r="N98" s="20">
        <v>4.6655999999999996E-2</v>
      </c>
      <c r="O98" s="20">
        <v>7.7759999999999996E-2</v>
      </c>
      <c r="P98" s="20">
        <v>4.6655999999999996E-2</v>
      </c>
      <c r="Q98" s="20">
        <v>0.12959999999999999</v>
      </c>
      <c r="R98" s="20">
        <v>0.12959999999999999</v>
      </c>
      <c r="S98" s="20">
        <v>0.216</v>
      </c>
      <c r="T98" s="20">
        <v>0.36</v>
      </c>
      <c r="U98" s="20">
        <v>0.12959999999999999</v>
      </c>
      <c r="V98" s="20">
        <v>0.216</v>
      </c>
      <c r="W98" s="20">
        <v>0.216</v>
      </c>
      <c r="X98" s="20">
        <v>0.12959999999999999</v>
      </c>
      <c r="Y98" s="20">
        <v>0.12959999999999999</v>
      </c>
      <c r="Z98" s="20">
        <v>0.12959999999999999</v>
      </c>
      <c r="AA98" s="20">
        <v>7.7759999999999996E-2</v>
      </c>
      <c r="AB98" s="20">
        <v>7.7759999999999996E-2</v>
      </c>
      <c r="AC98" s="20">
        <v>7.7759999999999996E-2</v>
      </c>
      <c r="AD98" s="20">
        <v>0.6</v>
      </c>
      <c r="AE98" s="20">
        <v>1</v>
      </c>
      <c r="AF98" s="20">
        <v>0.6</v>
      </c>
      <c r="AG98" s="20">
        <v>0.36</v>
      </c>
      <c r="AH98" s="20">
        <v>0.6</v>
      </c>
      <c r="AI98" s="20">
        <v>0.36</v>
      </c>
      <c r="AJ98" s="20">
        <v>0.6</v>
      </c>
      <c r="AK98" s="20">
        <v>0.6</v>
      </c>
      <c r="AL98" s="20">
        <v>0.36</v>
      </c>
      <c r="AM98" s="20">
        <v>0.216</v>
      </c>
      <c r="AN98" s="20">
        <v>0.36</v>
      </c>
      <c r="AO98" s="20">
        <v>0.36</v>
      </c>
      <c r="AP98" s="20">
        <v>0.216</v>
      </c>
      <c r="AQ98" s="20">
        <v>0.12959999999999999</v>
      </c>
      <c r="AR98" s="20">
        <v>0.12959999999999999</v>
      </c>
      <c r="AS98" s="20">
        <v>7.7759999999999996E-2</v>
      </c>
    </row>
    <row r="99" spans="4:45" x14ac:dyDescent="0.3">
      <c r="D99" s="20">
        <v>0.36</v>
      </c>
      <c r="E99" s="20">
        <v>0.216</v>
      </c>
      <c r="F99" s="20">
        <v>0.12959999999999999</v>
      </c>
      <c r="G99" s="20">
        <v>0.216</v>
      </c>
      <c r="H99" s="20">
        <v>0.12959999999999999</v>
      </c>
      <c r="I99" s="20">
        <v>7.7759999999999996E-2</v>
      </c>
      <c r="J99" s="20">
        <v>0.12959999999999999</v>
      </c>
      <c r="K99" s="20">
        <v>7.7759999999999996E-2</v>
      </c>
      <c r="L99" s="20">
        <v>7.7759999999999996E-2</v>
      </c>
      <c r="M99" s="20">
        <v>4.6655999999999996E-2</v>
      </c>
      <c r="N99" s="20">
        <v>2.7993599999999997E-2</v>
      </c>
      <c r="O99" s="20">
        <v>4.6655999999999996E-2</v>
      </c>
      <c r="P99" s="20">
        <v>2.7993599999999997E-2</v>
      </c>
      <c r="Q99" s="20">
        <v>7.7759999999999996E-2</v>
      </c>
      <c r="R99" s="20">
        <v>7.7759999999999996E-2</v>
      </c>
      <c r="S99" s="20">
        <v>0.12959999999999999</v>
      </c>
      <c r="T99" s="20">
        <v>0.216</v>
      </c>
      <c r="U99" s="20">
        <v>7.7759999999999996E-2</v>
      </c>
      <c r="V99" s="20">
        <v>0.12959999999999999</v>
      </c>
      <c r="W99" s="20">
        <v>0.12959999999999999</v>
      </c>
      <c r="X99" s="20">
        <v>7.7759999999999996E-2</v>
      </c>
      <c r="Y99" s="20">
        <v>7.7759999999999996E-2</v>
      </c>
      <c r="Z99" s="20">
        <v>7.7759999999999996E-2</v>
      </c>
      <c r="AA99" s="20">
        <v>4.6655999999999996E-2</v>
      </c>
      <c r="AB99" s="20">
        <v>4.6655999999999996E-2</v>
      </c>
      <c r="AC99" s="20">
        <v>4.6655999999999996E-2</v>
      </c>
      <c r="AD99" s="20">
        <v>0.36</v>
      </c>
      <c r="AE99" s="20">
        <v>0.6</v>
      </c>
      <c r="AF99" s="20">
        <v>1</v>
      </c>
      <c r="AG99" s="20">
        <v>0.6</v>
      </c>
      <c r="AH99" s="20">
        <v>0.6</v>
      </c>
      <c r="AI99" s="20">
        <v>0.216</v>
      </c>
      <c r="AJ99" s="20">
        <v>0.36</v>
      </c>
      <c r="AK99" s="20">
        <v>0.36</v>
      </c>
      <c r="AL99" s="20">
        <v>0.36</v>
      </c>
      <c r="AM99" s="20">
        <v>0.12959999999999999</v>
      </c>
      <c r="AN99" s="20">
        <v>0.216</v>
      </c>
      <c r="AO99" s="20">
        <v>0.216</v>
      </c>
      <c r="AP99" s="20">
        <v>0.12959999999999999</v>
      </c>
      <c r="AQ99" s="20">
        <v>7.7759999999999996E-2</v>
      </c>
      <c r="AR99" s="20">
        <v>7.7759999999999996E-2</v>
      </c>
      <c r="AS99" s="20">
        <v>4.6655999999999996E-2</v>
      </c>
    </row>
    <row r="100" spans="4:45" x14ac:dyDescent="0.3">
      <c r="D100" s="20">
        <v>0.6</v>
      </c>
      <c r="E100" s="20">
        <v>0.36</v>
      </c>
      <c r="F100" s="20">
        <v>0.216</v>
      </c>
      <c r="G100" s="20">
        <v>0.36</v>
      </c>
      <c r="H100" s="20">
        <v>0.216</v>
      </c>
      <c r="I100" s="20">
        <v>0.12959999999999999</v>
      </c>
      <c r="J100" s="20">
        <v>0.216</v>
      </c>
      <c r="K100" s="20">
        <v>0.12959999999999999</v>
      </c>
      <c r="L100" s="20">
        <v>0.12959999999999999</v>
      </c>
      <c r="M100" s="20">
        <v>7.7759999999999996E-2</v>
      </c>
      <c r="N100" s="20">
        <v>4.6655999999999996E-2</v>
      </c>
      <c r="O100" s="20">
        <v>4.6655999999999996E-2</v>
      </c>
      <c r="P100" s="20">
        <v>2.7993599999999997E-2</v>
      </c>
      <c r="Q100" s="20">
        <v>0.12959999999999999</v>
      </c>
      <c r="R100" s="20">
        <v>7.7759999999999996E-2</v>
      </c>
      <c r="S100" s="20">
        <v>7.7759999999999996E-2</v>
      </c>
      <c r="T100" s="20">
        <v>0.12959999999999999</v>
      </c>
      <c r="U100" s="20">
        <v>4.6655999999999996E-2</v>
      </c>
      <c r="V100" s="20">
        <v>7.7759999999999996E-2</v>
      </c>
      <c r="W100" s="20">
        <v>7.7759999999999996E-2</v>
      </c>
      <c r="X100" s="20">
        <v>4.6655999999999996E-2</v>
      </c>
      <c r="Y100" s="20">
        <v>7.7759999999999996E-2</v>
      </c>
      <c r="Z100" s="20">
        <v>7.7759999999999996E-2</v>
      </c>
      <c r="AA100" s="20">
        <v>4.6655999999999996E-2</v>
      </c>
      <c r="AB100" s="20">
        <v>4.6655999999999996E-2</v>
      </c>
      <c r="AC100" s="20">
        <v>4.6655999999999996E-2</v>
      </c>
      <c r="AD100" s="20">
        <v>0.216</v>
      </c>
      <c r="AE100" s="20">
        <v>0.36</v>
      </c>
      <c r="AF100" s="20">
        <v>0.6</v>
      </c>
      <c r="AG100" s="20">
        <v>1</v>
      </c>
      <c r="AH100" s="20">
        <v>0.6</v>
      </c>
      <c r="AI100" s="20">
        <v>0.216</v>
      </c>
      <c r="AJ100" s="20">
        <v>0.36</v>
      </c>
      <c r="AK100" s="20">
        <v>0.6</v>
      </c>
      <c r="AL100" s="20">
        <v>0.6</v>
      </c>
      <c r="AM100" s="20">
        <v>0.12959999999999999</v>
      </c>
      <c r="AN100" s="20">
        <v>0.216</v>
      </c>
      <c r="AO100" s="20">
        <v>0.216</v>
      </c>
      <c r="AP100" s="20">
        <v>0.12959999999999999</v>
      </c>
      <c r="AQ100" s="20">
        <v>7.7759999999999996E-2</v>
      </c>
      <c r="AR100" s="20">
        <v>7.7759999999999996E-2</v>
      </c>
      <c r="AS100" s="20">
        <v>4.6655999999999996E-2</v>
      </c>
    </row>
    <row r="101" spans="4:45" x14ac:dyDescent="0.3">
      <c r="D101" s="20">
        <v>0.36</v>
      </c>
      <c r="E101" s="20">
        <v>0.216</v>
      </c>
      <c r="F101" s="20">
        <v>0.12959999999999999</v>
      </c>
      <c r="G101" s="20">
        <v>0.216</v>
      </c>
      <c r="H101" s="20">
        <v>0.12959999999999999</v>
      </c>
      <c r="I101" s="20">
        <v>7.7759999999999996E-2</v>
      </c>
      <c r="J101" s="20">
        <v>0.12959999999999999</v>
      </c>
      <c r="K101" s="20">
        <v>7.7759999999999996E-2</v>
      </c>
      <c r="L101" s="20">
        <v>7.7759999999999996E-2</v>
      </c>
      <c r="M101" s="20">
        <v>4.6655999999999996E-2</v>
      </c>
      <c r="N101" s="20">
        <v>2.7993599999999997E-2</v>
      </c>
      <c r="O101" s="20">
        <v>4.6655999999999996E-2</v>
      </c>
      <c r="P101" s="20">
        <v>2.7993599999999997E-2</v>
      </c>
      <c r="Q101" s="20">
        <v>7.7759999999999996E-2</v>
      </c>
      <c r="R101" s="20">
        <v>7.7759999999999996E-2</v>
      </c>
      <c r="S101" s="20">
        <v>0.12959999999999999</v>
      </c>
      <c r="T101" s="20">
        <v>0.216</v>
      </c>
      <c r="U101" s="20">
        <v>7.7759999999999996E-2</v>
      </c>
      <c r="V101" s="20">
        <v>0.12959999999999999</v>
      </c>
      <c r="W101" s="20">
        <v>0.12959999999999999</v>
      </c>
      <c r="X101" s="20">
        <v>7.7759999999999996E-2</v>
      </c>
      <c r="Y101" s="20">
        <v>7.7759999999999996E-2</v>
      </c>
      <c r="Z101" s="20">
        <v>7.7759999999999996E-2</v>
      </c>
      <c r="AA101" s="20">
        <v>4.6655999999999996E-2</v>
      </c>
      <c r="AB101" s="20">
        <v>4.6655999999999996E-2</v>
      </c>
      <c r="AC101" s="20">
        <v>4.6655999999999996E-2</v>
      </c>
      <c r="AD101" s="20">
        <v>0.36</v>
      </c>
      <c r="AE101" s="20">
        <v>0.6</v>
      </c>
      <c r="AF101" s="20">
        <v>0.6</v>
      </c>
      <c r="AG101" s="20">
        <v>0.6</v>
      </c>
      <c r="AH101" s="20">
        <v>1</v>
      </c>
      <c r="AI101" s="20">
        <v>0.216</v>
      </c>
      <c r="AJ101" s="20">
        <v>0.36</v>
      </c>
      <c r="AK101" s="20">
        <v>0.6</v>
      </c>
      <c r="AL101" s="20">
        <v>0.36</v>
      </c>
      <c r="AM101" s="20">
        <v>0.12959999999999999</v>
      </c>
      <c r="AN101" s="20">
        <v>0.216</v>
      </c>
      <c r="AO101" s="20">
        <v>0.216</v>
      </c>
      <c r="AP101" s="20">
        <v>0.12959999999999999</v>
      </c>
      <c r="AQ101" s="20">
        <v>7.7759999999999996E-2</v>
      </c>
      <c r="AR101" s="20">
        <v>7.7759999999999996E-2</v>
      </c>
      <c r="AS101" s="20">
        <v>4.6655999999999996E-2</v>
      </c>
    </row>
    <row r="102" spans="4:45" x14ac:dyDescent="0.3">
      <c r="D102" s="20">
        <v>0.12959999999999999</v>
      </c>
      <c r="E102" s="20">
        <v>7.7759999999999996E-2</v>
      </c>
      <c r="F102" s="20">
        <v>0.12959999999999999</v>
      </c>
      <c r="G102" s="20">
        <v>7.7759999999999996E-2</v>
      </c>
      <c r="H102" s="20">
        <v>7.7759999999999996E-2</v>
      </c>
      <c r="I102" s="20">
        <v>7.7759999999999996E-2</v>
      </c>
      <c r="J102" s="20">
        <v>4.6655999999999996E-2</v>
      </c>
      <c r="K102" s="20">
        <v>4.6655999999999996E-2</v>
      </c>
      <c r="L102" s="20">
        <v>4.6655999999999996E-2</v>
      </c>
      <c r="M102" s="20">
        <v>7.7759999999999996E-2</v>
      </c>
      <c r="N102" s="20">
        <v>7.7759999999999996E-2</v>
      </c>
      <c r="O102" s="20">
        <v>0.12959999999999999</v>
      </c>
      <c r="P102" s="20">
        <v>7.7759999999999996E-2</v>
      </c>
      <c r="Q102" s="20">
        <v>0.216</v>
      </c>
      <c r="R102" s="20">
        <v>0.216</v>
      </c>
      <c r="S102" s="20">
        <v>0.36</v>
      </c>
      <c r="T102" s="20">
        <v>0.6</v>
      </c>
      <c r="U102" s="20">
        <v>0.216</v>
      </c>
      <c r="V102" s="20">
        <v>0.36</v>
      </c>
      <c r="W102" s="20">
        <v>0.36</v>
      </c>
      <c r="X102" s="20">
        <v>0.216</v>
      </c>
      <c r="Y102" s="20">
        <v>0.36</v>
      </c>
      <c r="Z102" s="20">
        <v>0.36</v>
      </c>
      <c r="AA102" s="20">
        <v>0.216</v>
      </c>
      <c r="AB102" s="20">
        <v>0.216</v>
      </c>
      <c r="AC102" s="20">
        <v>0.216</v>
      </c>
      <c r="AD102" s="20">
        <v>0.6</v>
      </c>
      <c r="AE102" s="20">
        <v>0.36</v>
      </c>
      <c r="AF102" s="20">
        <v>0.216</v>
      </c>
      <c r="AG102" s="20">
        <v>0.216</v>
      </c>
      <c r="AH102" s="20">
        <v>0.216</v>
      </c>
      <c r="AI102" s="20">
        <v>1</v>
      </c>
      <c r="AJ102" s="20">
        <v>0.6</v>
      </c>
      <c r="AK102" s="20">
        <v>0.36</v>
      </c>
      <c r="AL102" s="20">
        <v>0.216</v>
      </c>
      <c r="AM102" s="20">
        <v>0.6</v>
      </c>
      <c r="AN102" s="20">
        <v>0.6</v>
      </c>
      <c r="AO102" s="20">
        <v>0.36</v>
      </c>
      <c r="AP102" s="20">
        <v>0.216</v>
      </c>
      <c r="AQ102" s="20">
        <v>0.12959999999999999</v>
      </c>
      <c r="AR102" s="20">
        <v>0.12959999999999999</v>
      </c>
      <c r="AS102" s="20">
        <v>7.7759999999999996E-2</v>
      </c>
    </row>
    <row r="103" spans="4:45" x14ac:dyDescent="0.3">
      <c r="D103" s="20">
        <v>0.216</v>
      </c>
      <c r="E103" s="20">
        <v>0.12959999999999999</v>
      </c>
      <c r="F103" s="20">
        <v>7.7759999999999996E-2</v>
      </c>
      <c r="G103" s="20">
        <v>0.12959999999999999</v>
      </c>
      <c r="H103" s="20">
        <v>7.7759999999999996E-2</v>
      </c>
      <c r="I103" s="20">
        <v>4.6655999999999996E-2</v>
      </c>
      <c r="J103" s="20">
        <v>7.7759999999999996E-2</v>
      </c>
      <c r="K103" s="20">
        <v>4.6655999999999996E-2</v>
      </c>
      <c r="L103" s="20">
        <v>4.6655999999999996E-2</v>
      </c>
      <c r="M103" s="20">
        <v>4.6655999999999996E-2</v>
      </c>
      <c r="N103" s="20">
        <v>4.6655999999999996E-2</v>
      </c>
      <c r="O103" s="20">
        <v>7.7759999999999996E-2</v>
      </c>
      <c r="P103" s="20">
        <v>4.6655999999999996E-2</v>
      </c>
      <c r="Q103" s="20">
        <v>0.12959999999999999</v>
      </c>
      <c r="R103" s="20">
        <v>0.12959999999999999</v>
      </c>
      <c r="S103" s="20">
        <v>0.216</v>
      </c>
      <c r="T103" s="20">
        <v>0.36</v>
      </c>
      <c r="U103" s="20">
        <v>0.12959999999999999</v>
      </c>
      <c r="V103" s="20">
        <v>0.216</v>
      </c>
      <c r="W103" s="20">
        <v>0.216</v>
      </c>
      <c r="X103" s="20">
        <v>0.12959999999999999</v>
      </c>
      <c r="Y103" s="20">
        <v>0.216</v>
      </c>
      <c r="Z103" s="20">
        <v>0.216</v>
      </c>
      <c r="AA103" s="20">
        <v>0.12959999999999999</v>
      </c>
      <c r="AB103" s="20">
        <v>0.12959999999999999</v>
      </c>
      <c r="AC103" s="20">
        <v>0.12959999999999999</v>
      </c>
      <c r="AD103" s="20">
        <v>0.6</v>
      </c>
      <c r="AE103" s="20">
        <v>0.6</v>
      </c>
      <c r="AF103" s="20">
        <v>0.36</v>
      </c>
      <c r="AG103" s="20">
        <v>0.36</v>
      </c>
      <c r="AH103" s="20">
        <v>0.36</v>
      </c>
      <c r="AI103" s="20">
        <v>0.6</v>
      </c>
      <c r="AJ103" s="20">
        <v>1</v>
      </c>
      <c r="AK103" s="20">
        <v>0.6</v>
      </c>
      <c r="AL103" s="20">
        <v>0.36</v>
      </c>
      <c r="AM103" s="20">
        <v>0.36</v>
      </c>
      <c r="AN103" s="20">
        <v>0.6</v>
      </c>
      <c r="AO103" s="20">
        <v>0.6</v>
      </c>
      <c r="AP103" s="20">
        <v>0.36</v>
      </c>
      <c r="AQ103" s="20">
        <v>0.216</v>
      </c>
      <c r="AR103" s="20">
        <v>0.216</v>
      </c>
      <c r="AS103" s="20">
        <v>0.12959999999999999</v>
      </c>
    </row>
    <row r="104" spans="4:45" x14ac:dyDescent="0.3">
      <c r="D104" s="20">
        <v>0.36</v>
      </c>
      <c r="E104" s="20">
        <v>0.216</v>
      </c>
      <c r="F104" s="20">
        <v>0.12959999999999999</v>
      </c>
      <c r="G104" s="20">
        <v>0.216</v>
      </c>
      <c r="H104" s="20">
        <v>0.12959999999999999</v>
      </c>
      <c r="I104" s="20">
        <v>7.7759999999999996E-2</v>
      </c>
      <c r="J104" s="20">
        <v>0.12959999999999999</v>
      </c>
      <c r="K104" s="20">
        <v>7.7759999999999996E-2</v>
      </c>
      <c r="L104" s="20">
        <v>7.7759999999999996E-2</v>
      </c>
      <c r="M104" s="20">
        <v>4.6655999999999996E-2</v>
      </c>
      <c r="N104" s="20">
        <v>2.7993599999999997E-2</v>
      </c>
      <c r="O104" s="20">
        <v>4.6655999999999996E-2</v>
      </c>
      <c r="P104" s="20">
        <v>2.7993599999999997E-2</v>
      </c>
      <c r="Q104" s="20">
        <v>7.7759999999999996E-2</v>
      </c>
      <c r="R104" s="20">
        <v>7.7759999999999996E-2</v>
      </c>
      <c r="S104" s="20">
        <v>0.12959999999999999</v>
      </c>
      <c r="T104" s="20">
        <v>0.216</v>
      </c>
      <c r="U104" s="20">
        <v>7.7759999999999996E-2</v>
      </c>
      <c r="V104" s="20">
        <v>0.12959999999999999</v>
      </c>
      <c r="W104" s="20">
        <v>0.12959999999999999</v>
      </c>
      <c r="X104" s="20">
        <v>7.7759999999999996E-2</v>
      </c>
      <c r="Y104" s="20">
        <v>0.12959999999999999</v>
      </c>
      <c r="Z104" s="20">
        <v>0.12959999999999999</v>
      </c>
      <c r="AA104" s="20">
        <v>7.7759999999999996E-2</v>
      </c>
      <c r="AB104" s="20">
        <v>7.7759999999999996E-2</v>
      </c>
      <c r="AC104" s="20">
        <v>7.7759999999999996E-2</v>
      </c>
      <c r="AD104" s="20">
        <v>0.36</v>
      </c>
      <c r="AE104" s="20">
        <v>0.6</v>
      </c>
      <c r="AF104" s="20">
        <v>0.36</v>
      </c>
      <c r="AG104" s="20">
        <v>0.6</v>
      </c>
      <c r="AH104" s="20">
        <v>0.6</v>
      </c>
      <c r="AI104" s="20">
        <v>0.36</v>
      </c>
      <c r="AJ104" s="20">
        <v>0.6</v>
      </c>
      <c r="AK104" s="20">
        <v>1</v>
      </c>
      <c r="AL104" s="20">
        <v>0.6</v>
      </c>
      <c r="AM104" s="20">
        <v>0.216</v>
      </c>
      <c r="AN104" s="20">
        <v>0.36</v>
      </c>
      <c r="AO104" s="20">
        <v>0.36</v>
      </c>
      <c r="AP104" s="20">
        <v>0.216</v>
      </c>
      <c r="AQ104" s="20">
        <v>0.12959999999999999</v>
      </c>
      <c r="AR104" s="20">
        <v>0.12959999999999999</v>
      </c>
      <c r="AS104" s="20">
        <v>7.7759999999999996E-2</v>
      </c>
    </row>
    <row r="105" spans="4:45" x14ac:dyDescent="0.3">
      <c r="D105" s="20">
        <v>0.36</v>
      </c>
      <c r="E105" s="20">
        <v>0.216</v>
      </c>
      <c r="F105" s="20">
        <v>0.12959999999999999</v>
      </c>
      <c r="G105" s="20">
        <v>0.216</v>
      </c>
      <c r="H105" s="20">
        <v>0.12959999999999999</v>
      </c>
      <c r="I105" s="20">
        <v>7.7759999999999996E-2</v>
      </c>
      <c r="J105" s="20">
        <v>0.12959999999999999</v>
      </c>
      <c r="K105" s="20">
        <v>7.7759999999999996E-2</v>
      </c>
      <c r="L105" s="20">
        <v>7.7759999999999996E-2</v>
      </c>
      <c r="M105" s="20">
        <v>4.6655999999999996E-2</v>
      </c>
      <c r="N105" s="20">
        <v>2.7993599999999997E-2</v>
      </c>
      <c r="O105" s="20">
        <v>2.7993599999999997E-2</v>
      </c>
      <c r="P105" s="20">
        <v>1.6796159999999997E-2</v>
      </c>
      <c r="Q105" s="20">
        <v>7.7759999999999996E-2</v>
      </c>
      <c r="R105" s="20">
        <v>4.6655999999999996E-2</v>
      </c>
      <c r="S105" s="20">
        <v>7.7759999999999996E-2</v>
      </c>
      <c r="T105" s="20">
        <v>0.12959999999999999</v>
      </c>
      <c r="U105" s="20">
        <v>4.6655999999999996E-2</v>
      </c>
      <c r="V105" s="20">
        <v>7.7759999999999996E-2</v>
      </c>
      <c r="W105" s="20">
        <v>7.7759999999999996E-2</v>
      </c>
      <c r="X105" s="20">
        <v>4.6655999999999996E-2</v>
      </c>
      <c r="Y105" s="20">
        <v>7.7759999999999996E-2</v>
      </c>
      <c r="Z105" s="20">
        <v>7.7759999999999996E-2</v>
      </c>
      <c r="AA105" s="20">
        <v>4.6655999999999996E-2</v>
      </c>
      <c r="AB105" s="20">
        <v>4.6655999999999996E-2</v>
      </c>
      <c r="AC105" s="20">
        <v>4.6655999999999996E-2</v>
      </c>
      <c r="AD105" s="20">
        <v>0.216</v>
      </c>
      <c r="AE105" s="20">
        <v>0.36</v>
      </c>
      <c r="AF105" s="20">
        <v>0.36</v>
      </c>
      <c r="AG105" s="20">
        <v>0.6</v>
      </c>
      <c r="AH105" s="20">
        <v>0.36</v>
      </c>
      <c r="AI105" s="20">
        <v>0.216</v>
      </c>
      <c r="AJ105" s="20">
        <v>0.36</v>
      </c>
      <c r="AK105" s="20">
        <v>0.6</v>
      </c>
      <c r="AL105" s="20">
        <v>1</v>
      </c>
      <c r="AM105" s="20">
        <v>0.12959999999999999</v>
      </c>
      <c r="AN105" s="20">
        <v>0.216</v>
      </c>
      <c r="AO105" s="20">
        <v>0.216</v>
      </c>
      <c r="AP105" s="20">
        <v>0.12959999999999999</v>
      </c>
      <c r="AQ105" s="20">
        <v>7.7759999999999996E-2</v>
      </c>
      <c r="AR105" s="20">
        <v>7.7759999999999996E-2</v>
      </c>
      <c r="AS105" s="20">
        <v>4.6655999999999996E-2</v>
      </c>
    </row>
    <row r="106" spans="4:45" x14ac:dyDescent="0.3">
      <c r="D106" s="20">
        <v>7.7759999999999996E-2</v>
      </c>
      <c r="E106" s="20">
        <v>7.7759999999999996E-2</v>
      </c>
      <c r="F106" s="20">
        <v>0.12959999999999999</v>
      </c>
      <c r="G106" s="20">
        <v>4.6655999999999996E-2</v>
      </c>
      <c r="H106" s="20">
        <v>7.7759999999999996E-2</v>
      </c>
      <c r="I106" s="20">
        <v>7.7759999999999996E-2</v>
      </c>
      <c r="J106" s="20">
        <v>4.6655999999999996E-2</v>
      </c>
      <c r="K106" s="20">
        <v>4.6655999999999996E-2</v>
      </c>
      <c r="L106" s="20">
        <v>7.7759999999999996E-2</v>
      </c>
      <c r="M106" s="20">
        <v>0.12959999999999999</v>
      </c>
      <c r="N106" s="20">
        <v>0.12959999999999999</v>
      </c>
      <c r="O106" s="20">
        <v>0.216</v>
      </c>
      <c r="P106" s="20">
        <v>0.12959999999999999</v>
      </c>
      <c r="Q106" s="20">
        <v>0.216</v>
      </c>
      <c r="R106" s="20">
        <v>0.216</v>
      </c>
      <c r="S106" s="20">
        <v>0.36</v>
      </c>
      <c r="T106" s="20">
        <v>0.6</v>
      </c>
      <c r="U106" s="20">
        <v>0.36</v>
      </c>
      <c r="V106" s="20">
        <v>0.36</v>
      </c>
      <c r="W106" s="20">
        <v>0.6</v>
      </c>
      <c r="X106" s="20">
        <v>0.36</v>
      </c>
      <c r="Y106" s="20">
        <v>0.6</v>
      </c>
      <c r="Z106" s="20">
        <v>0.6</v>
      </c>
      <c r="AA106" s="20">
        <v>0.36</v>
      </c>
      <c r="AB106" s="20">
        <v>0.36</v>
      </c>
      <c r="AC106" s="20">
        <v>0.36</v>
      </c>
      <c r="AD106" s="20">
        <v>0.36</v>
      </c>
      <c r="AE106" s="20">
        <v>0.216</v>
      </c>
      <c r="AF106" s="20">
        <v>0.12959999999999999</v>
      </c>
      <c r="AG106" s="20">
        <v>0.12959999999999999</v>
      </c>
      <c r="AH106" s="20">
        <v>0.12959999999999999</v>
      </c>
      <c r="AI106" s="20">
        <v>0.6</v>
      </c>
      <c r="AJ106" s="20">
        <v>0.36</v>
      </c>
      <c r="AK106" s="20">
        <v>0.216</v>
      </c>
      <c r="AL106" s="20">
        <v>0.12959999999999999</v>
      </c>
      <c r="AM106" s="20">
        <v>1</v>
      </c>
      <c r="AN106" s="20">
        <v>0.6</v>
      </c>
      <c r="AO106" s="20">
        <v>0.36</v>
      </c>
      <c r="AP106" s="20">
        <v>0.216</v>
      </c>
      <c r="AQ106" s="20">
        <v>0.12959999999999999</v>
      </c>
      <c r="AR106" s="20">
        <v>0.12959999999999999</v>
      </c>
      <c r="AS106" s="20">
        <v>7.7759999999999996E-2</v>
      </c>
    </row>
    <row r="107" spans="4:45" x14ac:dyDescent="0.3">
      <c r="D107" s="20">
        <v>0.12959999999999999</v>
      </c>
      <c r="E107" s="20">
        <v>7.7759999999999996E-2</v>
      </c>
      <c r="F107" s="20">
        <v>7.7759999999999996E-2</v>
      </c>
      <c r="G107" s="20">
        <v>7.7759999999999996E-2</v>
      </c>
      <c r="H107" s="20">
        <v>4.6655999999999996E-2</v>
      </c>
      <c r="I107" s="20">
        <v>4.6655999999999996E-2</v>
      </c>
      <c r="J107" s="20">
        <v>4.6655999999999996E-2</v>
      </c>
      <c r="K107" s="20">
        <v>2.7993599999999997E-2</v>
      </c>
      <c r="L107" s="20">
        <v>4.6655999999999996E-2</v>
      </c>
      <c r="M107" s="20">
        <v>7.7759999999999996E-2</v>
      </c>
      <c r="N107" s="20">
        <v>7.7759999999999996E-2</v>
      </c>
      <c r="O107" s="20">
        <v>0.12959999999999999</v>
      </c>
      <c r="P107" s="20">
        <v>7.7759999999999996E-2</v>
      </c>
      <c r="Q107" s="20">
        <v>0.12959999999999999</v>
      </c>
      <c r="R107" s="20">
        <v>0.12959999999999999</v>
      </c>
      <c r="S107" s="20">
        <v>0.216</v>
      </c>
      <c r="T107" s="20">
        <v>0.36</v>
      </c>
      <c r="U107" s="20">
        <v>0.216</v>
      </c>
      <c r="V107" s="20">
        <v>0.216</v>
      </c>
      <c r="W107" s="20">
        <v>0.36</v>
      </c>
      <c r="X107" s="20">
        <v>0.216</v>
      </c>
      <c r="Y107" s="20">
        <v>0.36</v>
      </c>
      <c r="Z107" s="20">
        <v>0.36</v>
      </c>
      <c r="AA107" s="20">
        <v>0.216</v>
      </c>
      <c r="AB107" s="20">
        <v>0.216</v>
      </c>
      <c r="AC107" s="20">
        <v>0.216</v>
      </c>
      <c r="AD107" s="20">
        <v>0.36</v>
      </c>
      <c r="AE107" s="20">
        <v>0.36</v>
      </c>
      <c r="AF107" s="20">
        <v>0.216</v>
      </c>
      <c r="AG107" s="20">
        <v>0.216</v>
      </c>
      <c r="AH107" s="20">
        <v>0.216</v>
      </c>
      <c r="AI107" s="20">
        <v>0.6</v>
      </c>
      <c r="AJ107" s="20">
        <v>0.6</v>
      </c>
      <c r="AK107" s="20">
        <v>0.36</v>
      </c>
      <c r="AL107" s="20">
        <v>0.216</v>
      </c>
      <c r="AM107" s="20">
        <v>0.6</v>
      </c>
      <c r="AN107" s="20">
        <v>1</v>
      </c>
      <c r="AO107" s="20">
        <v>0.6</v>
      </c>
      <c r="AP107" s="20">
        <v>0.36</v>
      </c>
      <c r="AQ107" s="20">
        <v>0.216</v>
      </c>
      <c r="AR107" s="20">
        <v>0.216</v>
      </c>
      <c r="AS107" s="20">
        <v>0.12959999999999999</v>
      </c>
    </row>
    <row r="108" spans="4:45" x14ac:dyDescent="0.3">
      <c r="D108" s="20">
        <v>0.12959999999999999</v>
      </c>
      <c r="E108" s="20">
        <v>7.7759999999999996E-2</v>
      </c>
      <c r="F108" s="20">
        <v>4.6655999999999996E-2</v>
      </c>
      <c r="G108" s="20">
        <v>7.7759999999999996E-2</v>
      </c>
      <c r="H108" s="20">
        <v>4.6655999999999996E-2</v>
      </c>
      <c r="I108" s="20">
        <v>2.7993599999999997E-2</v>
      </c>
      <c r="J108" s="20">
        <v>4.6655999999999996E-2</v>
      </c>
      <c r="K108" s="20">
        <v>2.7993599999999997E-2</v>
      </c>
      <c r="L108" s="20">
        <v>2.7993599999999997E-2</v>
      </c>
      <c r="M108" s="20">
        <v>4.6655999999999996E-2</v>
      </c>
      <c r="N108" s="20">
        <v>4.6655999999999996E-2</v>
      </c>
      <c r="O108" s="20">
        <v>7.7759999999999996E-2</v>
      </c>
      <c r="P108" s="20">
        <v>4.6655999999999996E-2</v>
      </c>
      <c r="Q108" s="20">
        <v>7.7759999999999996E-2</v>
      </c>
      <c r="R108" s="20">
        <v>7.7759999999999996E-2</v>
      </c>
      <c r="S108" s="20">
        <v>0.12959999999999999</v>
      </c>
      <c r="T108" s="20">
        <v>0.216</v>
      </c>
      <c r="U108" s="20">
        <v>0.12959999999999999</v>
      </c>
      <c r="V108" s="20">
        <v>0.12959999999999999</v>
      </c>
      <c r="W108" s="20">
        <v>0.216</v>
      </c>
      <c r="X108" s="20">
        <v>0.12959999999999999</v>
      </c>
      <c r="Y108" s="20">
        <v>0.216</v>
      </c>
      <c r="Z108" s="20">
        <v>0.216</v>
      </c>
      <c r="AA108" s="20">
        <v>0.12959999999999999</v>
      </c>
      <c r="AB108" s="20">
        <v>0.12959999999999999</v>
      </c>
      <c r="AC108" s="20">
        <v>0.12959999999999999</v>
      </c>
      <c r="AD108" s="20">
        <v>0.36</v>
      </c>
      <c r="AE108" s="20">
        <v>0.36</v>
      </c>
      <c r="AF108" s="20">
        <v>0.216</v>
      </c>
      <c r="AG108" s="20">
        <v>0.216</v>
      </c>
      <c r="AH108" s="20">
        <v>0.216</v>
      </c>
      <c r="AI108" s="20">
        <v>0.36</v>
      </c>
      <c r="AJ108" s="20">
        <v>0.6</v>
      </c>
      <c r="AK108" s="20">
        <v>0.36</v>
      </c>
      <c r="AL108" s="20">
        <v>0.216</v>
      </c>
      <c r="AM108" s="20">
        <v>0.36</v>
      </c>
      <c r="AN108" s="20">
        <v>0.6</v>
      </c>
      <c r="AO108" s="20">
        <v>1</v>
      </c>
      <c r="AP108" s="20">
        <v>0.6</v>
      </c>
      <c r="AQ108" s="20">
        <v>0.36</v>
      </c>
      <c r="AR108" s="20">
        <v>0.36</v>
      </c>
      <c r="AS108" s="20">
        <v>0.216</v>
      </c>
    </row>
    <row r="109" spans="4:45" x14ac:dyDescent="0.3">
      <c r="D109" s="20">
        <v>7.7759999999999996E-2</v>
      </c>
      <c r="E109" s="20">
        <v>4.6655999999999996E-2</v>
      </c>
      <c r="F109" s="20">
        <v>2.7993599999999997E-2</v>
      </c>
      <c r="G109" s="20">
        <v>4.6655999999999996E-2</v>
      </c>
      <c r="H109" s="20">
        <v>2.7993599999999997E-2</v>
      </c>
      <c r="I109" s="20">
        <v>1.6796159999999997E-2</v>
      </c>
      <c r="J109" s="20">
        <v>2.7993599999999997E-2</v>
      </c>
      <c r="K109" s="20">
        <v>1.6796159999999997E-2</v>
      </c>
      <c r="L109" s="20">
        <v>1.6796159999999997E-2</v>
      </c>
      <c r="M109" s="20">
        <v>2.7993599999999997E-2</v>
      </c>
      <c r="N109" s="20">
        <v>2.7993599999999997E-2</v>
      </c>
      <c r="O109" s="20">
        <v>4.6655999999999996E-2</v>
      </c>
      <c r="P109" s="20">
        <v>2.7993599999999997E-2</v>
      </c>
      <c r="Q109" s="20">
        <v>4.6655999999999996E-2</v>
      </c>
      <c r="R109" s="20">
        <v>4.6655999999999996E-2</v>
      </c>
      <c r="S109" s="20">
        <v>7.7759999999999996E-2</v>
      </c>
      <c r="T109" s="20">
        <v>0.12959999999999999</v>
      </c>
      <c r="U109" s="20">
        <v>7.7759999999999996E-2</v>
      </c>
      <c r="V109" s="20">
        <v>7.7759999999999996E-2</v>
      </c>
      <c r="W109" s="20">
        <v>0.12959999999999999</v>
      </c>
      <c r="X109" s="20">
        <v>7.7759999999999996E-2</v>
      </c>
      <c r="Y109" s="20">
        <v>0.12959999999999999</v>
      </c>
      <c r="Z109" s="20">
        <v>0.12959999999999999</v>
      </c>
      <c r="AA109" s="20">
        <v>7.7759999999999996E-2</v>
      </c>
      <c r="AB109" s="20">
        <v>7.7759999999999996E-2</v>
      </c>
      <c r="AC109" s="20">
        <v>7.7759999999999996E-2</v>
      </c>
      <c r="AD109" s="20">
        <v>0.216</v>
      </c>
      <c r="AE109" s="20">
        <v>0.216</v>
      </c>
      <c r="AF109" s="20">
        <v>0.12959999999999999</v>
      </c>
      <c r="AG109" s="20">
        <v>0.12959999999999999</v>
      </c>
      <c r="AH109" s="20">
        <v>0.12959999999999999</v>
      </c>
      <c r="AI109" s="20">
        <v>0.216</v>
      </c>
      <c r="AJ109" s="20">
        <v>0.36</v>
      </c>
      <c r="AK109" s="20">
        <v>0.216</v>
      </c>
      <c r="AL109" s="20">
        <v>0.12959999999999999</v>
      </c>
      <c r="AM109" s="20">
        <v>0.216</v>
      </c>
      <c r="AN109" s="20">
        <v>0.36</v>
      </c>
      <c r="AO109" s="20">
        <v>0.6</v>
      </c>
      <c r="AP109" s="20">
        <v>1</v>
      </c>
      <c r="AQ109" s="20">
        <v>0.6</v>
      </c>
      <c r="AR109" s="20">
        <v>0.6</v>
      </c>
      <c r="AS109" s="20">
        <v>0.36</v>
      </c>
    </row>
    <row r="110" spans="4:45" x14ac:dyDescent="0.3">
      <c r="D110" s="20">
        <v>4.6655999999999996E-2</v>
      </c>
      <c r="E110" s="20">
        <v>2.7993599999999997E-2</v>
      </c>
      <c r="F110" s="20">
        <v>1.6796159999999997E-2</v>
      </c>
      <c r="G110" s="20">
        <v>2.7993599999999997E-2</v>
      </c>
      <c r="H110" s="20">
        <v>1.6796159999999997E-2</v>
      </c>
      <c r="I110" s="20">
        <v>1.0077695999999999E-2</v>
      </c>
      <c r="J110" s="20">
        <v>1.6796159999999997E-2</v>
      </c>
      <c r="K110" s="20">
        <v>1.0077695999999999E-2</v>
      </c>
      <c r="L110" s="20">
        <v>1.0077695999999999E-2</v>
      </c>
      <c r="M110" s="20">
        <v>1.6796159999999997E-2</v>
      </c>
      <c r="N110" s="20">
        <v>1.6796159999999997E-2</v>
      </c>
      <c r="O110" s="20">
        <v>2.7993599999999997E-2</v>
      </c>
      <c r="P110" s="20">
        <v>1.6796159999999997E-2</v>
      </c>
      <c r="Q110" s="20">
        <v>2.7993599999999997E-2</v>
      </c>
      <c r="R110" s="20">
        <v>2.7993599999999997E-2</v>
      </c>
      <c r="S110" s="20">
        <v>4.6655999999999996E-2</v>
      </c>
      <c r="T110" s="20">
        <v>7.7759999999999996E-2</v>
      </c>
      <c r="U110" s="20">
        <v>4.6655999999999996E-2</v>
      </c>
      <c r="V110" s="20">
        <v>4.6655999999999996E-2</v>
      </c>
      <c r="W110" s="20">
        <v>7.7759999999999996E-2</v>
      </c>
      <c r="X110" s="20">
        <v>4.6655999999999996E-2</v>
      </c>
      <c r="Y110" s="20">
        <v>7.7759999999999996E-2</v>
      </c>
      <c r="Z110" s="20">
        <v>7.7759999999999996E-2</v>
      </c>
      <c r="AA110" s="20">
        <v>4.6655999999999996E-2</v>
      </c>
      <c r="AB110" s="20">
        <v>4.6655999999999996E-2</v>
      </c>
      <c r="AC110" s="20">
        <v>4.6655999999999996E-2</v>
      </c>
      <c r="AD110" s="20">
        <v>0.12959999999999999</v>
      </c>
      <c r="AE110" s="20">
        <v>0.12959999999999999</v>
      </c>
      <c r="AF110" s="20">
        <v>7.7759999999999996E-2</v>
      </c>
      <c r="AG110" s="20">
        <v>7.7759999999999996E-2</v>
      </c>
      <c r="AH110" s="20">
        <v>7.7759999999999996E-2</v>
      </c>
      <c r="AI110" s="20">
        <v>0.12959999999999999</v>
      </c>
      <c r="AJ110" s="20">
        <v>0.216</v>
      </c>
      <c r="AK110" s="20">
        <v>0.12959999999999999</v>
      </c>
      <c r="AL110" s="20">
        <v>7.7759999999999996E-2</v>
      </c>
      <c r="AM110" s="20">
        <v>0.12959999999999999</v>
      </c>
      <c r="AN110" s="20">
        <v>0.216</v>
      </c>
      <c r="AO110" s="20">
        <v>0.36</v>
      </c>
      <c r="AP110" s="20">
        <v>0.6</v>
      </c>
      <c r="AQ110" s="20">
        <v>1</v>
      </c>
      <c r="AR110" s="20">
        <v>0.6</v>
      </c>
      <c r="AS110" s="20">
        <v>0.6</v>
      </c>
    </row>
    <row r="111" spans="4:45" x14ac:dyDescent="0.3">
      <c r="D111" s="20">
        <v>4.6655999999999996E-2</v>
      </c>
      <c r="E111" s="20">
        <v>2.7993599999999997E-2</v>
      </c>
      <c r="F111" s="20">
        <v>1.6796159999999997E-2</v>
      </c>
      <c r="G111" s="20">
        <v>2.7993599999999997E-2</v>
      </c>
      <c r="H111" s="20">
        <v>1.6796159999999997E-2</v>
      </c>
      <c r="I111" s="20">
        <v>1.0077695999999999E-2</v>
      </c>
      <c r="J111" s="20">
        <v>1.6796159999999997E-2</v>
      </c>
      <c r="K111" s="20">
        <v>1.0077695999999999E-2</v>
      </c>
      <c r="L111" s="20">
        <v>1.0077695999999999E-2</v>
      </c>
      <c r="M111" s="20">
        <v>1.6796159999999997E-2</v>
      </c>
      <c r="N111" s="20">
        <v>1.6796159999999997E-2</v>
      </c>
      <c r="O111" s="20">
        <v>2.7993599999999997E-2</v>
      </c>
      <c r="P111" s="20">
        <v>1.6796159999999997E-2</v>
      </c>
      <c r="Q111" s="20">
        <v>2.7993599999999997E-2</v>
      </c>
      <c r="R111" s="20">
        <v>2.7993599999999997E-2</v>
      </c>
      <c r="S111" s="20">
        <v>4.6655999999999996E-2</v>
      </c>
      <c r="T111" s="20">
        <v>7.7759999999999996E-2</v>
      </c>
      <c r="U111" s="20">
        <v>4.6655999999999996E-2</v>
      </c>
      <c r="V111" s="20">
        <v>4.6655999999999996E-2</v>
      </c>
      <c r="W111" s="20">
        <v>7.7759999999999996E-2</v>
      </c>
      <c r="X111" s="20">
        <v>4.6655999999999996E-2</v>
      </c>
      <c r="Y111" s="20">
        <v>7.7759999999999996E-2</v>
      </c>
      <c r="Z111" s="20">
        <v>7.7759999999999996E-2</v>
      </c>
      <c r="AA111" s="20">
        <v>4.6655999999999996E-2</v>
      </c>
      <c r="AB111" s="20">
        <v>4.6655999999999996E-2</v>
      </c>
      <c r="AC111" s="20">
        <v>4.6655999999999996E-2</v>
      </c>
      <c r="AD111" s="20">
        <v>0.12959999999999999</v>
      </c>
      <c r="AE111" s="20">
        <v>0.12959999999999999</v>
      </c>
      <c r="AF111" s="20">
        <v>7.7759999999999996E-2</v>
      </c>
      <c r="AG111" s="20">
        <v>7.7759999999999996E-2</v>
      </c>
      <c r="AH111" s="20">
        <v>7.7759999999999996E-2</v>
      </c>
      <c r="AI111" s="20">
        <v>0.12959999999999999</v>
      </c>
      <c r="AJ111" s="20">
        <v>0.216</v>
      </c>
      <c r="AK111" s="20">
        <v>0.12959999999999999</v>
      </c>
      <c r="AL111" s="20">
        <v>7.7759999999999996E-2</v>
      </c>
      <c r="AM111" s="20">
        <v>0.12959999999999999</v>
      </c>
      <c r="AN111" s="20">
        <v>0.216</v>
      </c>
      <c r="AO111" s="20">
        <v>0.36</v>
      </c>
      <c r="AP111" s="20">
        <v>0.6</v>
      </c>
      <c r="AQ111" s="20">
        <v>0.6</v>
      </c>
      <c r="AR111" s="20">
        <v>1</v>
      </c>
      <c r="AS111" s="20">
        <v>0.6</v>
      </c>
    </row>
    <row r="112" spans="4:45" x14ac:dyDescent="0.3">
      <c r="D112" s="20">
        <v>2.7993599999999997E-2</v>
      </c>
      <c r="E112" s="20">
        <v>1.6796159999999997E-2</v>
      </c>
      <c r="F112" s="20">
        <v>1.0077695999999999E-2</v>
      </c>
      <c r="G112" s="20">
        <v>1.6796159999999997E-2</v>
      </c>
      <c r="H112" s="20">
        <v>1.0077695999999999E-2</v>
      </c>
      <c r="I112" s="20">
        <v>6.0466175999999991E-3</v>
      </c>
      <c r="J112" s="20">
        <v>1.0077695999999999E-2</v>
      </c>
      <c r="K112" s="20">
        <v>6.0466175999999991E-3</v>
      </c>
      <c r="L112" s="20">
        <v>6.0466175999999991E-3</v>
      </c>
      <c r="M112" s="20">
        <v>1.0077695999999999E-2</v>
      </c>
      <c r="N112" s="20">
        <v>1.0077695999999999E-2</v>
      </c>
      <c r="O112" s="20">
        <v>1.6796159999999997E-2</v>
      </c>
      <c r="P112" s="20">
        <v>1.0077695999999999E-2</v>
      </c>
      <c r="Q112" s="20">
        <v>1.6796159999999997E-2</v>
      </c>
      <c r="R112" s="20">
        <v>1.6796159999999997E-2</v>
      </c>
      <c r="S112" s="20">
        <v>2.7993599999999997E-2</v>
      </c>
      <c r="T112" s="20">
        <v>4.6655999999999996E-2</v>
      </c>
      <c r="U112" s="20">
        <v>2.7993599999999997E-2</v>
      </c>
      <c r="V112" s="20">
        <v>2.7993599999999997E-2</v>
      </c>
      <c r="W112" s="20">
        <v>4.6655999999999996E-2</v>
      </c>
      <c r="X112" s="20">
        <v>2.7993599999999997E-2</v>
      </c>
      <c r="Y112" s="20">
        <v>4.6655999999999996E-2</v>
      </c>
      <c r="Z112" s="20">
        <v>4.6655999999999996E-2</v>
      </c>
      <c r="AA112" s="20">
        <v>2.7993599999999997E-2</v>
      </c>
      <c r="AB112" s="20">
        <v>2.7993599999999997E-2</v>
      </c>
      <c r="AC112" s="20">
        <v>2.7993599999999997E-2</v>
      </c>
      <c r="AD112" s="20">
        <v>7.7759999999999996E-2</v>
      </c>
      <c r="AE112" s="20">
        <v>7.7759999999999996E-2</v>
      </c>
      <c r="AF112" s="20">
        <v>4.6655999999999996E-2</v>
      </c>
      <c r="AG112" s="20">
        <v>4.6655999999999996E-2</v>
      </c>
      <c r="AH112" s="20">
        <v>4.6655999999999996E-2</v>
      </c>
      <c r="AI112" s="20">
        <v>7.7759999999999996E-2</v>
      </c>
      <c r="AJ112" s="20">
        <v>0.12959999999999999</v>
      </c>
      <c r="AK112" s="20">
        <v>7.7759999999999996E-2</v>
      </c>
      <c r="AL112" s="20">
        <v>4.6655999999999996E-2</v>
      </c>
      <c r="AM112" s="20">
        <v>7.7759999999999996E-2</v>
      </c>
      <c r="AN112" s="20">
        <v>0.12959999999999999</v>
      </c>
      <c r="AO112" s="20">
        <v>0.216</v>
      </c>
      <c r="AP112" s="20">
        <v>0.36</v>
      </c>
      <c r="AQ112" s="20">
        <v>0.6</v>
      </c>
      <c r="AR112" s="20">
        <v>0.6</v>
      </c>
      <c r="AS112" s="20">
        <v>1</v>
      </c>
    </row>
    <row r="114" spans="4:47" x14ac:dyDescent="0.3">
      <c r="D114" s="20">
        <f>SUM(D71:D112)</f>
        <v>8.5060863999999992</v>
      </c>
      <c r="E114" s="20">
        <f t="shared" ref="E114:AS114" si="56">SUM(E71:E112)</f>
        <v>8.5514905599999977</v>
      </c>
      <c r="F114" s="20">
        <f t="shared" si="56"/>
        <v>8.8163676159999973</v>
      </c>
      <c r="G114" s="20">
        <f t="shared" si="56"/>
        <v>8.3821465599999989</v>
      </c>
      <c r="H114" s="20">
        <f t="shared" si="56"/>
        <v>8.6934108159999983</v>
      </c>
      <c r="I114" s="20">
        <f t="shared" si="56"/>
        <v>7.4261149695999951</v>
      </c>
      <c r="J114" s="20">
        <f t="shared" si="56"/>
        <v>8.1988956159999962</v>
      </c>
      <c r="K114" s="20">
        <f t="shared" si="56"/>
        <v>7.6329373695999934</v>
      </c>
      <c r="L114" s="20">
        <f t="shared" si="56"/>
        <v>7.7468317695999938</v>
      </c>
      <c r="M114" s="20">
        <f t="shared" si="56"/>
        <v>7.9992156159999963</v>
      </c>
      <c r="N114" s="20">
        <f t="shared" si="56"/>
        <v>7.1907420159999988</v>
      </c>
      <c r="O114" s="20">
        <f t="shared" si="56"/>
        <v>9.1254169600000044</v>
      </c>
      <c r="P114" s="20">
        <f t="shared" si="56"/>
        <v>6.3552501760000002</v>
      </c>
      <c r="Q114" s="20">
        <f t="shared" si="56"/>
        <v>8.9674393599999984</v>
      </c>
      <c r="R114" s="20">
        <f t="shared" si="56"/>
        <v>9.1878553599999986</v>
      </c>
      <c r="S114" s="20">
        <f t="shared" si="56"/>
        <v>9.4848255999999989</v>
      </c>
      <c r="T114" s="20">
        <f t="shared" si="56"/>
        <v>11.541375999999994</v>
      </c>
      <c r="U114" s="20">
        <f t="shared" si="56"/>
        <v>9.967897599999997</v>
      </c>
      <c r="V114" s="20">
        <f t="shared" si="56"/>
        <v>9.7305855999999977</v>
      </c>
      <c r="W114" s="20">
        <f t="shared" si="56"/>
        <v>11.041407999999995</v>
      </c>
      <c r="X114" s="20">
        <f t="shared" si="56"/>
        <v>10.796953599999997</v>
      </c>
      <c r="Y114" s="20">
        <f t="shared" si="56"/>
        <v>9.9957759999999958</v>
      </c>
      <c r="Z114" s="20">
        <f t="shared" si="56"/>
        <v>10.331775999999994</v>
      </c>
      <c r="AA114" s="20">
        <f t="shared" si="56"/>
        <v>8.4547071999999979</v>
      </c>
      <c r="AB114" s="20">
        <f t="shared" si="56"/>
        <v>7.3190655999999965</v>
      </c>
      <c r="AC114" s="20">
        <f t="shared" si="56"/>
        <v>7.0790655999999963</v>
      </c>
      <c r="AD114" s="20">
        <f t="shared" si="56"/>
        <v>10.382847999999996</v>
      </c>
      <c r="AE114" s="20">
        <f t="shared" si="56"/>
        <v>9.6540159999999968</v>
      </c>
      <c r="AF114" s="20">
        <f t="shared" si="56"/>
        <v>8.1240832000000012</v>
      </c>
      <c r="AG114" s="20">
        <f t="shared" si="56"/>
        <v>8.9602815999999983</v>
      </c>
      <c r="AH114" s="20">
        <f t="shared" si="56"/>
        <v>8.3640831999999996</v>
      </c>
      <c r="AI114" s="20">
        <f t="shared" si="56"/>
        <v>10.882047999999998</v>
      </c>
      <c r="AJ114" s="20">
        <f t="shared" si="56"/>
        <v>10.734975999999996</v>
      </c>
      <c r="AK114" s="20">
        <f t="shared" si="56"/>
        <v>9.5406591999999968</v>
      </c>
      <c r="AL114" s="20">
        <f t="shared" si="56"/>
        <v>7.3749913600000001</v>
      </c>
      <c r="AM114" s="20">
        <f t="shared" si="56"/>
        <v>11.398527999999997</v>
      </c>
      <c r="AN114" s="20">
        <f t="shared" si="56"/>
        <v>10.417177599999997</v>
      </c>
      <c r="AO114" s="20">
        <f t="shared" si="56"/>
        <v>9.0535167999999988</v>
      </c>
      <c r="AP114" s="20">
        <f t="shared" si="56"/>
        <v>7.07051008</v>
      </c>
      <c r="AQ114" s="20">
        <f t="shared" si="56"/>
        <v>5.506306047999999</v>
      </c>
      <c r="AR114" s="20">
        <f t="shared" si="56"/>
        <v>5.5063060479999999</v>
      </c>
      <c r="AS114" s="20">
        <f t="shared" si="56"/>
        <v>4.1837836288000005</v>
      </c>
      <c r="AU114" s="21">
        <f>MAX(D114:AS114)</f>
        <v>11.541375999999994</v>
      </c>
    </row>
  </sheetData>
  <conditionalFormatting sqref="D50:AS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AS4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{511F0EA0-8089-493C-9E93-2F357A91E571}</x14:id>
        </ext>
      </extLst>
    </cfRule>
  </conditionalFormatting>
  <conditionalFormatting sqref="D71:AS112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{6BBD7677-7E73-4CBE-B4A9-D3FB3B98858B}</x14:id>
        </ext>
      </extLst>
    </cfRule>
  </conditionalFormatting>
  <conditionalFormatting sqref="D114:AS114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{83E1760B-7C0B-40E5-B44B-B59B056D7BF1}</x14:id>
        </ext>
      </extLst>
    </cfRule>
  </conditionalFormatting>
  <conditionalFormatting sqref="A7:A48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{38BB3425-633F-44AD-BA1F-F1FFE0BDE571}</x14:id>
        </ext>
      </extLst>
    </cfRule>
  </conditionalFormatting>
  <conditionalFormatting sqref="A53:A58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{A90F3B8C-76D2-4B00-A58C-983D1A37F67B}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1F0EA0-8089-493C-9E93-2F357A91E5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D4:AS4</xm:sqref>
        </x14:conditionalFormatting>
        <x14:conditionalFormatting xmlns:xm="http://schemas.microsoft.com/office/excel/2006/main">
          <x14:cfRule type="dataBar" id="{6BBD7677-7E73-4CBE-B4A9-D3FB3B9885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D71:AS112</xm:sqref>
        </x14:conditionalFormatting>
        <x14:conditionalFormatting xmlns:xm="http://schemas.microsoft.com/office/excel/2006/main">
          <x14:cfRule type="dataBar" id="{83E1760B-7C0B-40E5-B44B-B59B056D7B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D114:AS114</xm:sqref>
        </x14:conditionalFormatting>
        <x14:conditionalFormatting xmlns:xm="http://schemas.microsoft.com/office/excel/2006/main">
          <x14:cfRule type="dataBar" id="{38BB3425-633F-44AD-BA1F-F1FFE0BDE5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A7:A48</xm:sqref>
        </x14:conditionalFormatting>
        <x14:conditionalFormatting xmlns:xm="http://schemas.microsoft.com/office/excel/2006/main">
          <x14:cfRule type="dataBar" id="{A90F3B8C-76D2-4B00-A58C-983D1A37F6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A53:A58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Blok12</dc:creator>
  <cp:lastModifiedBy>Blok12</cp:lastModifiedBy>
  <dcterms:created xsi:type="dcterms:W3CDTF">2014-03-08T21:16:34Z</dcterms:created>
  <dcterms:modified xsi:type="dcterms:W3CDTF">2014-03-09T19:25:05Z</dcterms:modified>
</cp:coreProperties>
</file>